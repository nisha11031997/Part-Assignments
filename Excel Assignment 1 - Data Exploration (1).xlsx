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1BD38E-8B74-496C-B9AC-7A0FFD120BA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set" sheetId="1" r:id="rId1"/>
    <sheet name="Data Exploration" sheetId="2" r:id="rId2"/>
    <sheet name="Observation" sheetId="3" r:id="rId3"/>
  </sheets>
  <definedNames>
    <definedName name="_xlnm._FilterDatabase" localSheetId="1" hidden="1">'Data Exploration'!$A$2:$O$35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2" i="2"/>
  <c r="Q35" i="2"/>
  <c r="Q32" i="2"/>
  <c r="Q33" i="2"/>
  <c r="Q3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2" i="2"/>
  <c r="O2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K2" i="2"/>
  <c r="J2" i="2"/>
  <c r="I2" i="2"/>
  <c r="I3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G37" i="2" s="1"/>
</calcChain>
</file>

<file path=xl/sharedStrings.xml><?xml version="1.0" encoding="utf-8"?>
<sst xmlns="http://schemas.openxmlformats.org/spreadsheetml/2006/main" count="323" uniqueCount="130">
  <si>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</si>
  <si>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</si>
  <si>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</si>
  <si>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</si>
  <si>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</si>
  <si>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</si>
  <si>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</si>
  <si>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</si>
  <si>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</si>
  <si>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</si>
  <si>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</si>
  <si>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</si>
  <si>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</si>
  <si>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</si>
  <si>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</si>
  <si>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</si>
  <si>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</si>
  <si>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</si>
  <si>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</si>
  <si>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</si>
  <si>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</si>
  <si>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</si>
  <si>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</si>
  <si>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</si>
  <si>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</si>
  <si>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</si>
  <si>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</si>
  <si>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</si>
  <si>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</si>
  <si>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</si>
  <si>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</si>
  <si>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</si>
  <si>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</si>
  <si>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</si>
  <si>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</si>
  <si>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</si>
  <si>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</si>
  <si>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</si>
  <si>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</si>
  <si>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</si>
  <si>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</si>
  <si>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</si>
  <si>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</si>
  <si>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</si>
  <si>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</si>
  <si>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</si>
  <si>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</si>
  <si>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</si>
  <si>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</si>
  <si>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</si>
  <si>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</si>
  <si>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</si>
  <si>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</si>
  <si>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</si>
  <si>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</si>
  <si>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</si>
  <si>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</si>
  <si>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</si>
  <si>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</si>
  <si>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</si>
  <si>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</si>
  <si>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</si>
  <si>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</si>
  <si>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</si>
  <si>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</si>
  <si>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</si>
  <si>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</si>
  <si>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</si>
  <si>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</si>
  <si>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</si>
  <si>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</si>
  <si>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</si>
  <si>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</si>
  <si>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</si>
  <si>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</si>
  <si>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</si>
  <si>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</si>
  <si>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</si>
  <si>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</si>
  <si>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</si>
  <si>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</si>
  <si>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</si>
  <si>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</si>
  <si>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</si>
  <si>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</si>
  <si>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</si>
  <si>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</si>
  <si>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</si>
  <si>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</si>
  <si>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</si>
  <si>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</si>
  <si>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</si>
  <si>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</si>
  <si>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</si>
  <si>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Total price</t>
  </si>
  <si>
    <t>Total products</t>
  </si>
  <si>
    <t>Average Price</t>
  </si>
  <si>
    <t xml:space="preserve">Minimum price </t>
  </si>
  <si>
    <t>Maximum price</t>
  </si>
  <si>
    <t>Price Range</t>
  </si>
  <si>
    <t xml:space="preserve">sum if </t>
  </si>
  <si>
    <t>OBSERVATIONS</t>
  </si>
  <si>
    <t>countif</t>
  </si>
  <si>
    <t>Day</t>
  </si>
  <si>
    <t>Country Code</t>
  </si>
  <si>
    <t>Month</t>
  </si>
  <si>
    <t>S.NO</t>
  </si>
  <si>
    <t>FUNCTIONS</t>
  </si>
  <si>
    <t>RESULT</t>
  </si>
  <si>
    <t>Total Price</t>
  </si>
  <si>
    <t>There are 21 products in the dataset</t>
  </si>
  <si>
    <t>.</t>
  </si>
  <si>
    <t>To find the total price product the price and quantity of the products.</t>
  </si>
  <si>
    <t>Minimum</t>
  </si>
  <si>
    <t>To find average price I use avg function by selecting the columnD.</t>
  </si>
  <si>
    <t>Maximum</t>
  </si>
  <si>
    <t>Here I find the minimum price of the products by using min function by selecting the columnD.</t>
  </si>
  <si>
    <t>To find maximum price of the products I use max function by selecting the columnD.</t>
  </si>
  <si>
    <t xml:space="preserve">If </t>
  </si>
  <si>
    <t>I use the price value &gt;=500 if the value is true it results as high price if the value is false it results as standard price.</t>
  </si>
  <si>
    <t>Sumif</t>
  </si>
  <si>
    <t>I select the value in catogory column and total price column and give the range electronics  I found  my answer by enter.</t>
  </si>
  <si>
    <t>Countif</t>
  </si>
  <si>
    <t>For finding number of products less than 100, I select price column and criteria I choose &lt;100 with string and got my result.</t>
  </si>
  <si>
    <t xml:space="preserve">Left </t>
  </si>
  <si>
    <t>Right</t>
  </si>
  <si>
    <t>For right function I create a new column named as country code and select the product id range and gave 2 characters and press enter.</t>
  </si>
  <si>
    <t>For left function I create a new column named as day and select from product id and gave 2 characters and enter.</t>
  </si>
  <si>
    <t>Mid</t>
  </si>
  <si>
    <t>For mid function I create a new column named as month and select the range of product id and select the starting character and give how many characters we need and press 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</si>
</sst>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i/>
      <sz val="10"/>
      <color theme="1"/>
      <name val="Arial"/>
      <family val="2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G9" sqref="G9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D6FA-4D96-4A97-8D13-62199EB30D60}">
  <sheetPr>
    <outlinePr summaryBelow="0" summaryRight="0"/>
  </sheetPr>
  <dimension ref="A1:R1000"/>
  <sheetViews>
    <sheetView topLeftCell="A13" zoomScale="112" zoomScaleNormal="112" workbookViewId="0">
      <selection activeCell="L23" sqref="L23"/>
    </sheetView>
  </sheetViews>
  <sheetFormatPr defaultColWidth="12.5703125" defaultRowHeight="15" customHeight="1" x14ac:dyDescent="0.2"/>
  <cols>
    <col min="1" max="1" width="15" style="11" bestFit="1" customWidth="1"/>
    <col min="2" max="2" width="18.5703125" style="11" bestFit="1" customWidth="1"/>
    <col min="3" max="3" width="16.85546875" style="11" bestFit="1" customWidth="1"/>
    <col min="4" max="4" width="13" style="11" bestFit="1" customWidth="1"/>
    <col min="5" max="5" width="13.140625" style="11" bestFit="1" customWidth="1"/>
    <col min="6" max="6" width="13.7109375" style="11" bestFit="1" customWidth="1"/>
    <col min="7" max="7" width="14.7109375" style="11" bestFit="1" customWidth="1"/>
    <col min="8" max="8" width="16.140625" style="11" customWidth="1"/>
    <col min="9" max="9" width="14.42578125" style="11" customWidth="1"/>
    <col min="10" max="10" width="13.5703125" style="11" customWidth="1"/>
    <col min="11" max="11" width="14.42578125" style="11" customWidth="1"/>
    <col min="12" max="12" width="14.85546875" style="11" customWidth="1"/>
    <col min="13" max="16384" width="12.5703125" style="11"/>
  </cols>
  <sheetData>
    <row r="1" spans="1:18" ht="15.75" customHeight="1" x14ac:dyDescent="0.2">
      <c r="A1" s="6" t="s">
        <v>0</v>
      </c>
      <c r="B1" s="6" t="s">
        <v>1</v>
      </c>
      <c r="C1" s="6" t="s">
        <v>2</v>
      </c>
      <c r="D1" s="9" t="s">
        <v>3</v>
      </c>
      <c r="E1" s="6" t="s">
        <v>4</v>
      </c>
      <c r="F1" s="6" t="s">
        <v>5</v>
      </c>
      <c r="G1" s="12" t="s">
        <v>94</v>
      </c>
      <c r="H1" s="13" t="s">
        <v>95</v>
      </c>
      <c r="I1" s="14" t="s">
        <v>96</v>
      </c>
      <c r="J1" s="13" t="s">
        <v>97</v>
      </c>
      <c r="K1" s="13" t="s">
        <v>98</v>
      </c>
      <c r="L1" s="13" t="s">
        <v>99</v>
      </c>
      <c r="M1" s="13" t="s">
        <v>100</v>
      </c>
      <c r="N1" s="15"/>
      <c r="O1" s="13" t="s">
        <v>102</v>
      </c>
      <c r="P1" s="13" t="s">
        <v>103</v>
      </c>
      <c r="Q1" s="13" t="s">
        <v>104</v>
      </c>
      <c r="R1" s="13" t="s">
        <v>105</v>
      </c>
    </row>
    <row r="2" spans="1:18" ht="15.75" customHeight="1" x14ac:dyDescent="0.2">
      <c r="A2" s="7" t="s">
        <v>6</v>
      </c>
      <c r="B2" s="7" t="s">
        <v>7</v>
      </c>
      <c r="C2" s="7" t="s">
        <v>8</v>
      </c>
      <c r="D2" s="7">
        <v>1000</v>
      </c>
      <c r="E2" s="7">
        <v>30</v>
      </c>
      <c r="F2" s="7" t="s">
        <v>9</v>
      </c>
      <c r="G2" s="7">
        <f>PRODUCT(D2:E2)</f>
        <v>30000</v>
      </c>
      <c r="H2" s="11">
        <v>21</v>
      </c>
      <c r="I2" s="11">
        <f>AVERAGE(D2:D35)</f>
        <v>297.05882352941177</v>
      </c>
      <c r="J2" s="11">
        <f>MIN(D2:D35)</f>
        <v>30</v>
      </c>
      <c r="K2" s="11">
        <f>MAX(D2:D35)</f>
        <v>1000</v>
      </c>
      <c r="L2" s="11" t="str">
        <f>IF(D2&gt;=500,"High price","standard price")</f>
        <v>High price</v>
      </c>
      <c r="M2" s="10" t="s">
        <v>9</v>
      </c>
      <c r="N2" s="10">
        <f>SUMIF(F2:F35,M2,G2:G35)</f>
        <v>234200</v>
      </c>
      <c r="O2" s="11">
        <f>COUNTIF(D2:D35,"&lt;100")</f>
        <v>11</v>
      </c>
      <c r="P2" s="11" t="str">
        <f>LEFT(A2,2)</f>
        <v>28</v>
      </c>
      <c r="Q2" s="11" t="str">
        <f>RIGHT(A2,2)</f>
        <v>US</v>
      </c>
      <c r="R2" s="11" t="str">
        <f>MID(A2,4,3)</f>
        <v>JAN</v>
      </c>
    </row>
    <row r="3" spans="1:18" ht="15.75" customHeight="1" x14ac:dyDescent="0.2">
      <c r="A3" s="8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G3" s="7">
        <f>PRODUCT(D3:E3)</f>
        <v>1200</v>
      </c>
      <c r="I3" s="11">
        <f>ROUNDUP(I2,2)</f>
        <v>297.06</v>
      </c>
      <c r="L3" s="11" t="str">
        <f t="shared" ref="L3:L35" si="0">IF(D3&gt;=500,"High price","standard price")</f>
        <v>standard price</v>
      </c>
      <c r="P3" s="11" t="str">
        <f t="shared" ref="P3:P35" si="1">LEFT(A3,2)</f>
        <v>15</v>
      </c>
      <c r="Q3" s="11" t="str">
        <f t="shared" ref="Q3:Q35" si="2">RIGHT(A3,2)</f>
        <v>US</v>
      </c>
      <c r="R3" s="11" t="str">
        <f t="shared" ref="R3:R35" si="3">MID(A3,4,3)</f>
        <v>FEB</v>
      </c>
    </row>
    <row r="4" spans="1:18" ht="15.75" customHeight="1" x14ac:dyDescent="0.2">
      <c r="A4" s="7" t="s">
        <v>14</v>
      </c>
      <c r="B4" s="7" t="s">
        <v>15</v>
      </c>
      <c r="C4" s="7" t="s">
        <v>16</v>
      </c>
      <c r="D4" s="7">
        <v>130</v>
      </c>
      <c r="E4" s="7">
        <v>40</v>
      </c>
      <c r="F4" s="7" t="s">
        <v>17</v>
      </c>
      <c r="G4" s="7">
        <f t="shared" ref="G4:G35" si="4">PRODUCT(D4:E4)</f>
        <v>5200</v>
      </c>
      <c r="L4" s="11" t="str">
        <f t="shared" si="0"/>
        <v>standard price</v>
      </c>
      <c r="P4" s="11" t="str">
        <f t="shared" si="1"/>
        <v>03</v>
      </c>
      <c r="Q4" s="11" t="str">
        <f t="shared" si="2"/>
        <v>US</v>
      </c>
      <c r="R4" s="11" t="str">
        <f t="shared" si="3"/>
        <v>MAR</v>
      </c>
    </row>
    <row r="5" spans="1:18" ht="15.75" customHeight="1" x14ac:dyDescent="0.2">
      <c r="A5" s="8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G5" s="7">
        <f t="shared" si="4"/>
        <v>22500</v>
      </c>
      <c r="L5" s="11" t="str">
        <f t="shared" si="0"/>
        <v>High price</v>
      </c>
      <c r="P5" s="11" t="str">
        <f t="shared" si="1"/>
        <v>11</v>
      </c>
      <c r="Q5" s="11" t="str">
        <f t="shared" si="2"/>
        <v>US</v>
      </c>
      <c r="R5" s="11" t="str">
        <f t="shared" si="3"/>
        <v>APR</v>
      </c>
    </row>
    <row r="6" spans="1:18" ht="15.75" customHeight="1" x14ac:dyDescent="0.2">
      <c r="A6" s="7" t="s">
        <v>21</v>
      </c>
      <c r="B6" s="7" t="s">
        <v>22</v>
      </c>
      <c r="C6" s="7" t="s">
        <v>23</v>
      </c>
      <c r="D6" s="7">
        <v>70</v>
      </c>
      <c r="E6" s="7">
        <v>20</v>
      </c>
      <c r="F6" s="7" t="s">
        <v>24</v>
      </c>
      <c r="G6" s="7">
        <f t="shared" si="4"/>
        <v>1400</v>
      </c>
      <c r="L6" s="11" t="str">
        <f t="shared" si="0"/>
        <v>standard price</v>
      </c>
      <c r="P6" s="11" t="str">
        <f t="shared" si="1"/>
        <v>22</v>
      </c>
      <c r="Q6" s="11" t="str">
        <f t="shared" si="2"/>
        <v>US</v>
      </c>
      <c r="R6" s="11" t="str">
        <f t="shared" si="3"/>
        <v>MAY</v>
      </c>
    </row>
    <row r="7" spans="1:18" ht="15.75" customHeight="1" x14ac:dyDescent="0.2">
      <c r="A7" s="8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G7" s="7">
        <f t="shared" si="4"/>
        <v>9000</v>
      </c>
      <c r="L7" s="11" t="str">
        <f t="shared" si="0"/>
        <v>standard price</v>
      </c>
      <c r="P7" s="11" t="str">
        <f t="shared" si="1"/>
        <v>07</v>
      </c>
      <c r="Q7" s="11" t="str">
        <f t="shared" si="2"/>
        <v>UK</v>
      </c>
      <c r="R7" s="11" t="str">
        <f t="shared" si="3"/>
        <v>JUN</v>
      </c>
    </row>
    <row r="8" spans="1:18" ht="15.75" customHeight="1" x14ac:dyDescent="0.2">
      <c r="A8" s="7" t="s">
        <v>28</v>
      </c>
      <c r="B8" s="7" t="s">
        <v>29</v>
      </c>
      <c r="C8" s="7" t="s">
        <v>30</v>
      </c>
      <c r="D8" s="7">
        <v>30</v>
      </c>
      <c r="E8" s="7">
        <v>5</v>
      </c>
      <c r="F8" s="7" t="s">
        <v>13</v>
      </c>
      <c r="G8" s="7">
        <f t="shared" si="4"/>
        <v>150</v>
      </c>
      <c r="L8" s="11" t="str">
        <f t="shared" si="0"/>
        <v>standard price</v>
      </c>
      <c r="P8" s="11" t="str">
        <f t="shared" si="1"/>
        <v>19</v>
      </c>
      <c r="Q8" s="11" t="str">
        <f t="shared" si="2"/>
        <v>UK</v>
      </c>
      <c r="R8" s="11" t="str">
        <f t="shared" si="3"/>
        <v>JUL</v>
      </c>
    </row>
    <row r="9" spans="1:18" ht="15.75" customHeight="1" x14ac:dyDescent="0.2">
      <c r="A9" s="8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G9" s="7">
        <f t="shared" si="4"/>
        <v>3150</v>
      </c>
      <c r="L9" s="11" t="str">
        <f t="shared" si="0"/>
        <v>standard price</v>
      </c>
      <c r="P9" s="11" t="str">
        <f t="shared" si="1"/>
        <v>23</v>
      </c>
      <c r="Q9" s="11" t="str">
        <f t="shared" si="2"/>
        <v>UK</v>
      </c>
      <c r="R9" s="11" t="str">
        <f t="shared" si="3"/>
        <v>AUG</v>
      </c>
    </row>
    <row r="10" spans="1:18" ht="15.75" customHeight="1" x14ac:dyDescent="0.2">
      <c r="A10" s="7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7" t="s">
        <v>9</v>
      </c>
      <c r="G10" s="7">
        <f t="shared" si="4"/>
        <v>25000</v>
      </c>
      <c r="L10" s="11" t="str">
        <f t="shared" si="0"/>
        <v>High price</v>
      </c>
      <c r="P10" s="11" t="str">
        <f t="shared" si="1"/>
        <v>05</v>
      </c>
      <c r="Q10" s="11" t="str">
        <f t="shared" si="2"/>
        <v>UK</v>
      </c>
      <c r="R10" s="11" t="str">
        <f t="shared" si="3"/>
        <v>SEP</v>
      </c>
    </row>
    <row r="11" spans="1:18" ht="15.75" customHeight="1" x14ac:dyDescent="0.2">
      <c r="A11" s="8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G11" s="7">
        <f t="shared" si="4"/>
        <v>1300</v>
      </c>
      <c r="L11" s="11" t="str">
        <f t="shared" si="0"/>
        <v>standard price</v>
      </c>
      <c r="P11" s="11" t="str">
        <f t="shared" si="1"/>
        <v>14</v>
      </c>
      <c r="Q11" s="11" t="str">
        <f t="shared" si="2"/>
        <v>UK</v>
      </c>
      <c r="R11" s="11" t="str">
        <f t="shared" si="3"/>
        <v>OCT</v>
      </c>
    </row>
    <row r="12" spans="1:18" ht="15.75" customHeight="1" x14ac:dyDescent="0.2">
      <c r="A12" s="7" t="s">
        <v>40</v>
      </c>
      <c r="B12" s="7"/>
      <c r="C12" s="7" t="s">
        <v>41</v>
      </c>
      <c r="D12" s="7">
        <v>950</v>
      </c>
      <c r="E12" s="7">
        <v>25</v>
      </c>
      <c r="F12" s="7" t="s">
        <v>9</v>
      </c>
      <c r="G12" s="7">
        <f t="shared" si="4"/>
        <v>23750</v>
      </c>
      <c r="L12" s="11" t="str">
        <f t="shared" si="0"/>
        <v>High price</v>
      </c>
      <c r="P12" s="11" t="str">
        <f t="shared" si="1"/>
        <v>17</v>
      </c>
      <c r="Q12" s="11" t="str">
        <f t="shared" si="2"/>
        <v>IN</v>
      </c>
      <c r="R12" s="11" t="str">
        <f t="shared" si="3"/>
        <v>JUN</v>
      </c>
    </row>
    <row r="13" spans="1:18" ht="15.75" customHeight="1" x14ac:dyDescent="0.2">
      <c r="A13" s="8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G13" s="7">
        <f t="shared" si="4"/>
        <v>3600</v>
      </c>
      <c r="L13" s="11" t="str">
        <f t="shared" si="0"/>
        <v>standard price</v>
      </c>
      <c r="P13" s="11" t="str">
        <f t="shared" si="1"/>
        <v>25</v>
      </c>
      <c r="Q13" s="11" t="str">
        <f t="shared" si="2"/>
        <v>AU</v>
      </c>
      <c r="R13" s="11" t="str">
        <f t="shared" si="3"/>
        <v>NOV</v>
      </c>
    </row>
    <row r="14" spans="1:18" ht="15.75" customHeight="1" x14ac:dyDescent="0.2">
      <c r="A14" s="7" t="s">
        <v>43</v>
      </c>
      <c r="B14" s="7" t="s">
        <v>15</v>
      </c>
      <c r="C14" s="7" t="s">
        <v>44</v>
      </c>
      <c r="D14" s="7">
        <v>120</v>
      </c>
      <c r="E14" s="7">
        <v>35</v>
      </c>
      <c r="F14" s="7" t="s">
        <v>17</v>
      </c>
      <c r="G14" s="7">
        <f t="shared" si="4"/>
        <v>4200</v>
      </c>
      <c r="L14" s="11" t="str">
        <f t="shared" si="0"/>
        <v>standard price</v>
      </c>
      <c r="P14" s="11" t="str">
        <f t="shared" si="1"/>
        <v>08</v>
      </c>
      <c r="Q14" s="11" t="str">
        <f t="shared" si="2"/>
        <v>DE</v>
      </c>
      <c r="R14" s="11" t="str">
        <f t="shared" si="3"/>
        <v>DEC</v>
      </c>
    </row>
    <row r="15" spans="1:18" ht="15.75" customHeight="1" x14ac:dyDescent="0.2">
      <c r="A15" s="8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G15" s="7">
        <f t="shared" si="4"/>
        <v>2250</v>
      </c>
      <c r="L15" s="11" t="str">
        <f t="shared" si="0"/>
        <v>standard price</v>
      </c>
      <c r="P15" s="11" t="str">
        <f t="shared" si="1"/>
        <v>18</v>
      </c>
      <c r="Q15" s="11" t="str">
        <f t="shared" si="2"/>
        <v>CA</v>
      </c>
      <c r="R15" s="11" t="str">
        <f t="shared" si="3"/>
        <v>FEB</v>
      </c>
    </row>
    <row r="16" spans="1:18" ht="15.75" customHeight="1" x14ac:dyDescent="0.2">
      <c r="A16" s="7" t="s">
        <v>48</v>
      </c>
      <c r="B16" s="7" t="s">
        <v>26</v>
      </c>
      <c r="C16" s="7" t="s">
        <v>49</v>
      </c>
      <c r="D16" s="7">
        <v>250</v>
      </c>
      <c r="E16" s="7">
        <v>20</v>
      </c>
      <c r="F16" s="7" t="s">
        <v>9</v>
      </c>
      <c r="G16" s="7">
        <f t="shared" si="4"/>
        <v>5000</v>
      </c>
      <c r="L16" s="11" t="str">
        <f t="shared" si="0"/>
        <v>standard price</v>
      </c>
      <c r="P16" s="11" t="str">
        <f t="shared" si="1"/>
        <v>16</v>
      </c>
      <c r="Q16" s="11" t="str">
        <f t="shared" si="2"/>
        <v>ES</v>
      </c>
      <c r="R16" s="11" t="str">
        <f t="shared" si="3"/>
        <v>APR</v>
      </c>
    </row>
    <row r="17" spans="1:18" ht="15.75" customHeight="1" x14ac:dyDescent="0.2">
      <c r="A17" s="8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G17" s="7">
        <f t="shared" si="4"/>
        <v>1750</v>
      </c>
      <c r="L17" s="11" t="str">
        <f t="shared" si="0"/>
        <v>standard price</v>
      </c>
      <c r="P17" s="11" t="str">
        <f t="shared" si="1"/>
        <v>21</v>
      </c>
      <c r="Q17" s="11" t="str">
        <f t="shared" si="2"/>
        <v>CA</v>
      </c>
      <c r="R17" s="11" t="str">
        <f t="shared" si="3"/>
        <v>AUG</v>
      </c>
    </row>
    <row r="18" spans="1:18" ht="15.75" customHeight="1" x14ac:dyDescent="0.2">
      <c r="A18" s="7" t="s">
        <v>54</v>
      </c>
      <c r="B18" s="7" t="s">
        <v>46</v>
      </c>
      <c r="C18" s="7" t="s">
        <v>55</v>
      </c>
      <c r="D18" s="7">
        <v>160</v>
      </c>
      <c r="E18" s="7">
        <v>15</v>
      </c>
      <c r="F18" s="7" t="s">
        <v>9</v>
      </c>
      <c r="G18" s="7">
        <f t="shared" si="4"/>
        <v>2400</v>
      </c>
      <c r="L18" s="11" t="str">
        <f t="shared" si="0"/>
        <v>standard price</v>
      </c>
      <c r="P18" s="11" t="str">
        <f t="shared" si="1"/>
        <v>20</v>
      </c>
      <c r="Q18" s="11" t="str">
        <f t="shared" si="2"/>
        <v>CN</v>
      </c>
      <c r="R18" s="11" t="str">
        <f t="shared" si="3"/>
        <v>AUG</v>
      </c>
    </row>
    <row r="19" spans="1:18" ht="15.75" customHeight="1" x14ac:dyDescent="0.2">
      <c r="A19" s="8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G19" s="7">
        <f t="shared" si="4"/>
        <v>9800</v>
      </c>
      <c r="L19" s="11" t="str">
        <f t="shared" si="0"/>
        <v>High price</v>
      </c>
      <c r="P19" s="11" t="str">
        <f t="shared" si="1"/>
        <v>27</v>
      </c>
      <c r="Q19" s="11" t="str">
        <f t="shared" si="2"/>
        <v>IT</v>
      </c>
      <c r="R19" s="11" t="str">
        <f t="shared" si="3"/>
        <v>JAN</v>
      </c>
    </row>
    <row r="20" spans="1:18" ht="15.75" customHeight="1" x14ac:dyDescent="0.2">
      <c r="A20" s="7" t="s">
        <v>58</v>
      </c>
      <c r="B20" s="7" t="s">
        <v>59</v>
      </c>
      <c r="C20" s="7" t="s">
        <v>60</v>
      </c>
      <c r="D20" s="7">
        <v>150</v>
      </c>
      <c r="E20" s="7">
        <v>15</v>
      </c>
      <c r="F20" s="7" t="s">
        <v>13</v>
      </c>
      <c r="G20" s="7">
        <f t="shared" si="4"/>
        <v>2250</v>
      </c>
      <c r="L20" s="11" t="str">
        <f t="shared" si="0"/>
        <v>standard price</v>
      </c>
      <c r="P20" s="11" t="str">
        <f t="shared" si="1"/>
        <v>01</v>
      </c>
      <c r="Q20" s="11" t="str">
        <f t="shared" si="2"/>
        <v>UK</v>
      </c>
      <c r="R20" s="11" t="str">
        <f t="shared" si="3"/>
        <v>MAR</v>
      </c>
    </row>
    <row r="21" spans="1:18" ht="15.75" customHeight="1" x14ac:dyDescent="0.2">
      <c r="A21" s="8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G21" s="7">
        <f t="shared" si="4"/>
        <v>2000</v>
      </c>
      <c r="L21" s="11" t="str">
        <f t="shared" si="0"/>
        <v>standard price</v>
      </c>
      <c r="P21" s="11" t="str">
        <f t="shared" si="1"/>
        <v>14</v>
      </c>
      <c r="Q21" s="11" t="str">
        <f t="shared" si="2"/>
        <v>US</v>
      </c>
      <c r="R21" s="11" t="str">
        <f t="shared" si="3"/>
        <v>AUG</v>
      </c>
    </row>
    <row r="22" spans="1:18" ht="15.75" customHeight="1" x14ac:dyDescent="0.2">
      <c r="A22" s="7" t="s">
        <v>64</v>
      </c>
      <c r="B22" s="7" t="s">
        <v>65</v>
      </c>
      <c r="C22" s="7" t="s">
        <v>66</v>
      </c>
      <c r="D22" s="7">
        <v>700</v>
      </c>
      <c r="E22" s="7">
        <v>50</v>
      </c>
      <c r="F22" s="7" t="s">
        <v>9</v>
      </c>
      <c r="G22" s="7">
        <f t="shared" si="4"/>
        <v>35000</v>
      </c>
      <c r="L22" s="11" t="str">
        <f t="shared" si="0"/>
        <v>High price</v>
      </c>
      <c r="P22" s="11" t="str">
        <f t="shared" si="1"/>
        <v>14</v>
      </c>
      <c r="Q22" s="11" t="str">
        <f t="shared" si="2"/>
        <v>RU</v>
      </c>
      <c r="R22" s="11" t="str">
        <f t="shared" si="3"/>
        <v>MAY</v>
      </c>
    </row>
    <row r="23" spans="1:18" ht="15.75" customHeight="1" x14ac:dyDescent="0.2">
      <c r="A23" s="8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G23" s="7">
        <f t="shared" si="4"/>
        <v>1600</v>
      </c>
      <c r="L23" s="11" t="str">
        <f t="shared" si="0"/>
        <v>standard price</v>
      </c>
      <c r="P23" s="11" t="str">
        <f t="shared" si="1"/>
        <v>09</v>
      </c>
      <c r="Q23" s="11" t="str">
        <f t="shared" si="2"/>
        <v>CA</v>
      </c>
      <c r="R23" s="11" t="str">
        <f t="shared" si="3"/>
        <v>JAN</v>
      </c>
    </row>
    <row r="24" spans="1:18" ht="15.75" customHeight="1" x14ac:dyDescent="0.2">
      <c r="A24" s="7" t="s">
        <v>70</v>
      </c>
      <c r="B24" s="7" t="s">
        <v>71</v>
      </c>
      <c r="C24" s="7" t="s">
        <v>72</v>
      </c>
      <c r="D24" s="7">
        <v>150</v>
      </c>
      <c r="E24" s="7">
        <v>30</v>
      </c>
      <c r="F24" s="7" t="s">
        <v>9</v>
      </c>
      <c r="G24" s="7">
        <f t="shared" si="4"/>
        <v>4500</v>
      </c>
      <c r="L24" s="11" t="str">
        <f t="shared" si="0"/>
        <v>standard price</v>
      </c>
      <c r="P24" s="11" t="str">
        <f t="shared" si="1"/>
        <v>19</v>
      </c>
      <c r="Q24" s="11" t="str">
        <f t="shared" si="2"/>
        <v>BR</v>
      </c>
      <c r="R24" s="11" t="str">
        <f t="shared" si="3"/>
        <v>JUL</v>
      </c>
    </row>
    <row r="25" spans="1:18" ht="15.75" customHeight="1" x14ac:dyDescent="0.2">
      <c r="A25" s="8" t="s">
        <v>50</v>
      </c>
      <c r="B25" s="8" t="s">
        <v>51</v>
      </c>
      <c r="C25" s="8" t="s">
        <v>52</v>
      </c>
      <c r="D25" s="8">
        <v>50</v>
      </c>
      <c r="E25" s="8">
        <v>35</v>
      </c>
      <c r="F25" s="8" t="s">
        <v>53</v>
      </c>
      <c r="G25" s="7">
        <f t="shared" si="4"/>
        <v>1750</v>
      </c>
      <c r="L25" s="11" t="str">
        <f t="shared" si="0"/>
        <v>standard price</v>
      </c>
      <c r="P25" s="11" t="str">
        <f t="shared" si="1"/>
        <v>21</v>
      </c>
      <c r="Q25" s="11" t="str">
        <f t="shared" si="2"/>
        <v>CA</v>
      </c>
      <c r="R25" s="11" t="str">
        <f t="shared" si="3"/>
        <v>AUG</v>
      </c>
    </row>
    <row r="26" spans="1:18" ht="15.75" customHeight="1" x14ac:dyDescent="0.2">
      <c r="A26" s="7" t="s">
        <v>73</v>
      </c>
      <c r="B26" s="7" t="s">
        <v>19</v>
      </c>
      <c r="C26" s="7" t="s">
        <v>74</v>
      </c>
      <c r="D26" s="7">
        <v>800</v>
      </c>
      <c r="E26" s="7">
        <v>45</v>
      </c>
      <c r="F26" s="7" t="s">
        <v>9</v>
      </c>
      <c r="G26" s="7">
        <f t="shared" si="4"/>
        <v>36000</v>
      </c>
      <c r="L26" s="11" t="str">
        <f t="shared" si="0"/>
        <v>High price</v>
      </c>
      <c r="P26" s="11" t="str">
        <f t="shared" si="1"/>
        <v>29</v>
      </c>
      <c r="Q26" s="11" t="str">
        <f t="shared" si="2"/>
        <v>CA</v>
      </c>
      <c r="R26" s="11" t="str">
        <f t="shared" si="3"/>
        <v>SEP</v>
      </c>
    </row>
    <row r="27" spans="1:18" ht="15.75" customHeight="1" x14ac:dyDescent="0.2">
      <c r="A27" s="8" t="s">
        <v>75</v>
      </c>
      <c r="B27" s="8" t="s">
        <v>59</v>
      </c>
      <c r="C27" s="8" t="s">
        <v>76</v>
      </c>
      <c r="D27" s="8">
        <v>130</v>
      </c>
      <c r="E27" s="8">
        <v>25</v>
      </c>
      <c r="F27" s="8" t="s">
        <v>13</v>
      </c>
      <c r="G27" s="7">
        <f t="shared" si="4"/>
        <v>3250</v>
      </c>
      <c r="L27" s="11" t="str">
        <f t="shared" si="0"/>
        <v>standard price</v>
      </c>
      <c r="P27" s="11" t="str">
        <f t="shared" si="1"/>
        <v>03</v>
      </c>
      <c r="Q27" s="11" t="str">
        <f t="shared" si="2"/>
        <v>CA</v>
      </c>
      <c r="R27" s="11" t="str">
        <f t="shared" si="3"/>
        <v>JUN</v>
      </c>
    </row>
    <row r="28" spans="1:18" ht="15.75" customHeight="1" x14ac:dyDescent="0.2">
      <c r="A28" s="7" t="s">
        <v>77</v>
      </c>
      <c r="B28" s="7" t="s">
        <v>32</v>
      </c>
      <c r="C28" s="7" t="s">
        <v>78</v>
      </c>
      <c r="D28" s="7">
        <v>400</v>
      </c>
      <c r="E28" s="7">
        <v>40</v>
      </c>
      <c r="F28" s="7" t="s">
        <v>17</v>
      </c>
      <c r="G28" s="7">
        <f t="shared" si="4"/>
        <v>16000</v>
      </c>
      <c r="L28" s="11" t="str">
        <f t="shared" si="0"/>
        <v>standard price</v>
      </c>
      <c r="P28" s="11" t="str">
        <f t="shared" si="1"/>
        <v>11</v>
      </c>
      <c r="Q28" s="11" t="str">
        <f t="shared" si="2"/>
        <v>CA</v>
      </c>
      <c r="R28" s="11" t="str">
        <f t="shared" si="3"/>
        <v>JUL</v>
      </c>
    </row>
    <row r="29" spans="1:18" ht="15.75" customHeight="1" x14ac:dyDescent="0.2">
      <c r="A29" s="8" t="s">
        <v>48</v>
      </c>
      <c r="B29" s="8" t="s">
        <v>26</v>
      </c>
      <c r="C29" s="8" t="s">
        <v>49</v>
      </c>
      <c r="D29" s="8">
        <v>230</v>
      </c>
      <c r="E29" s="8">
        <v>20</v>
      </c>
      <c r="F29" s="8" t="s">
        <v>9</v>
      </c>
      <c r="G29" s="7">
        <f t="shared" si="4"/>
        <v>4600</v>
      </c>
      <c r="L29" s="11" t="str">
        <f t="shared" si="0"/>
        <v>standard price</v>
      </c>
      <c r="P29" s="11" t="str">
        <f t="shared" si="1"/>
        <v>16</v>
      </c>
      <c r="Q29" s="11" t="str">
        <f t="shared" si="2"/>
        <v>ES</v>
      </c>
      <c r="R29" s="11" t="str">
        <f t="shared" si="3"/>
        <v>APR</v>
      </c>
    </row>
    <row r="30" spans="1:18" ht="15.75" customHeight="1" x14ac:dyDescent="0.2">
      <c r="A30" s="7" t="s">
        <v>79</v>
      </c>
      <c r="B30" s="7" t="s">
        <v>80</v>
      </c>
      <c r="C30" s="7" t="s">
        <v>81</v>
      </c>
      <c r="D30" s="7">
        <v>60</v>
      </c>
      <c r="E30" s="7">
        <v>30</v>
      </c>
      <c r="F30" s="7" t="s">
        <v>13</v>
      </c>
      <c r="G30" s="7">
        <f t="shared" si="4"/>
        <v>1800</v>
      </c>
      <c r="L30" s="11" t="str">
        <f t="shared" si="0"/>
        <v>standard price</v>
      </c>
      <c r="P30" s="11" t="str">
        <f t="shared" si="1"/>
        <v>07</v>
      </c>
      <c r="Q30" s="11" t="str">
        <f t="shared" si="2"/>
        <v>CA</v>
      </c>
      <c r="R30" s="11" t="str">
        <f t="shared" si="3"/>
        <v>MAR</v>
      </c>
    </row>
    <row r="31" spans="1:18" ht="15.75" customHeight="1" x14ac:dyDescent="0.2">
      <c r="A31" s="8" t="s">
        <v>82</v>
      </c>
      <c r="B31" s="8" t="s">
        <v>83</v>
      </c>
      <c r="C31" s="8" t="s">
        <v>84</v>
      </c>
      <c r="D31" s="8">
        <v>40</v>
      </c>
      <c r="E31" s="8">
        <v>10</v>
      </c>
      <c r="F31" s="8" t="s">
        <v>17</v>
      </c>
      <c r="G31" s="7">
        <f t="shared" si="4"/>
        <v>400</v>
      </c>
      <c r="L31" s="11" t="str">
        <f t="shared" si="0"/>
        <v>standard price</v>
      </c>
      <c r="P31" s="11" t="str">
        <f t="shared" si="1"/>
        <v>13</v>
      </c>
      <c r="Q31" s="11" t="str">
        <f t="shared" si="2"/>
        <v>CA</v>
      </c>
      <c r="R31" s="11" t="str">
        <f t="shared" si="3"/>
        <v>APR</v>
      </c>
    </row>
    <row r="32" spans="1:18" ht="15.75" customHeight="1" x14ac:dyDescent="0.2">
      <c r="A32" s="7" t="s">
        <v>85</v>
      </c>
      <c r="B32" s="7" t="s">
        <v>71</v>
      </c>
      <c r="C32" s="7" t="s">
        <v>86</v>
      </c>
      <c r="D32" s="7">
        <v>130</v>
      </c>
      <c r="E32" s="7">
        <v>5</v>
      </c>
      <c r="F32" s="7" t="s">
        <v>9</v>
      </c>
      <c r="G32" s="7">
        <f t="shared" si="4"/>
        <v>650</v>
      </c>
      <c r="L32" s="11" t="str">
        <f t="shared" si="0"/>
        <v>standard price</v>
      </c>
      <c r="P32" s="11" t="str">
        <f t="shared" si="1"/>
        <v>24</v>
      </c>
      <c r="Q32" s="11" t="str">
        <f t="shared" si="2"/>
        <v>CA</v>
      </c>
      <c r="R32" s="11" t="str">
        <f t="shared" si="3"/>
        <v>MAY</v>
      </c>
    </row>
    <row r="33" spans="1:18" ht="15.75" customHeight="1" x14ac:dyDescent="0.2">
      <c r="A33" s="8" t="s">
        <v>87</v>
      </c>
      <c r="B33" s="8" t="s">
        <v>88</v>
      </c>
      <c r="C33" s="8" t="s">
        <v>89</v>
      </c>
      <c r="D33" s="8">
        <v>50</v>
      </c>
      <c r="E33" s="8">
        <v>50</v>
      </c>
      <c r="F33" s="8" t="s">
        <v>13</v>
      </c>
      <c r="G33" s="7">
        <f t="shared" si="4"/>
        <v>2500</v>
      </c>
      <c r="L33" s="11" t="str">
        <f t="shared" si="0"/>
        <v>standard price</v>
      </c>
      <c r="P33" s="11" t="str">
        <f t="shared" si="1"/>
        <v>02</v>
      </c>
      <c r="Q33" s="11" t="str">
        <f t="shared" si="2"/>
        <v>CA</v>
      </c>
      <c r="R33" s="11" t="str">
        <f t="shared" si="3"/>
        <v>DEC</v>
      </c>
    </row>
    <row r="34" spans="1:18" ht="15.75" customHeight="1" x14ac:dyDescent="0.2">
      <c r="A34" s="7" t="s">
        <v>40</v>
      </c>
      <c r="B34" s="7" t="s">
        <v>7</v>
      </c>
      <c r="C34" s="7" t="s">
        <v>41</v>
      </c>
      <c r="D34" s="7">
        <v>950</v>
      </c>
      <c r="E34" s="7">
        <v>25</v>
      </c>
      <c r="F34" s="7" t="s">
        <v>9</v>
      </c>
      <c r="G34" s="7">
        <f t="shared" si="4"/>
        <v>23750</v>
      </c>
      <c r="L34" s="11" t="str">
        <f t="shared" si="0"/>
        <v>High price</v>
      </c>
      <c r="P34" s="11" t="str">
        <f t="shared" si="1"/>
        <v>17</v>
      </c>
      <c r="Q34" s="11" t="str">
        <f t="shared" si="2"/>
        <v>IN</v>
      </c>
      <c r="R34" s="11" t="str">
        <f t="shared" si="3"/>
        <v>JUN</v>
      </c>
    </row>
    <row r="35" spans="1:18" ht="15.75" customHeight="1" x14ac:dyDescent="0.2">
      <c r="A35" s="8" t="s">
        <v>90</v>
      </c>
      <c r="B35" s="8" t="s">
        <v>91</v>
      </c>
      <c r="C35" s="8" t="s">
        <v>92</v>
      </c>
      <c r="D35" s="8">
        <v>100</v>
      </c>
      <c r="E35" s="8">
        <v>20</v>
      </c>
      <c r="F35" s="8" t="s">
        <v>53</v>
      </c>
      <c r="G35" s="7">
        <f t="shared" si="4"/>
        <v>2000</v>
      </c>
      <c r="L35" s="11" t="str">
        <f t="shared" si="0"/>
        <v>standard price</v>
      </c>
      <c r="P35" s="11" t="str">
        <f t="shared" si="1"/>
        <v>09</v>
      </c>
      <c r="Q35" s="11" t="str">
        <f t="shared" si="2"/>
        <v>FR</v>
      </c>
      <c r="R35" s="11" t="str">
        <f t="shared" si="3"/>
        <v>JUL</v>
      </c>
    </row>
    <row r="36" spans="1:18" ht="15.75" customHeight="1" x14ac:dyDescent="0.2"/>
    <row r="37" spans="1:18" ht="15.75" customHeight="1" x14ac:dyDescent="0.2">
      <c r="F37" s="16" t="s">
        <v>93</v>
      </c>
      <c r="G37" s="16">
        <f>SUM(G2:G35)</f>
        <v>289700</v>
      </c>
    </row>
    <row r="38" spans="1:18" ht="15.75" customHeight="1" x14ac:dyDescent="0.2"/>
    <row r="39" spans="1:18" ht="15.75" customHeight="1" x14ac:dyDescent="0.2"/>
    <row r="40" spans="1:18" ht="15.75" customHeight="1" x14ac:dyDescent="0.2"/>
    <row r="41" spans="1:18" ht="15.75" customHeight="1" x14ac:dyDescent="0.2"/>
    <row r="42" spans="1:18" ht="15.75" customHeight="1" x14ac:dyDescent="0.2"/>
    <row r="43" spans="1:18" ht="15.75" customHeight="1" x14ac:dyDescent="0.2"/>
    <row r="44" spans="1:18" ht="15.75" customHeight="1" x14ac:dyDescent="0.2"/>
    <row r="45" spans="1:18" ht="15.75" customHeight="1" x14ac:dyDescent="0.2"/>
    <row r="46" spans="1:18" ht="15.75" customHeight="1" x14ac:dyDescent="0.2"/>
    <row r="47" spans="1:18" ht="15.75" customHeight="1" x14ac:dyDescent="0.2"/>
    <row r="48" spans="1:18" ht="15.75" customHeight="1" x14ac:dyDescent="0.2"/>
    <row r="49" s="11" customFormat="1" ht="15.75" customHeight="1" x14ac:dyDescent="0.2"/>
    <row r="50" s="11" customFormat="1" ht="15.75" customHeight="1" x14ac:dyDescent="0.2"/>
    <row r="51" s="11" customFormat="1" ht="15.75" customHeight="1" x14ac:dyDescent="0.2"/>
    <row r="52" s="11" customFormat="1" ht="15.75" customHeight="1" x14ac:dyDescent="0.2"/>
    <row r="53" s="11" customFormat="1" ht="15.75" customHeight="1" x14ac:dyDescent="0.2"/>
    <row r="54" s="11" customFormat="1" ht="15.75" customHeight="1" x14ac:dyDescent="0.2"/>
    <row r="55" s="11" customFormat="1" ht="15.75" customHeight="1" x14ac:dyDescent="0.2"/>
    <row r="56" s="11" customFormat="1" ht="15.75" customHeight="1" x14ac:dyDescent="0.2"/>
    <row r="57" s="11" customFormat="1" ht="15.75" customHeight="1" x14ac:dyDescent="0.2"/>
    <row r="58" s="11" customFormat="1" ht="15.75" customHeight="1" x14ac:dyDescent="0.2"/>
    <row r="59" s="11" customFormat="1" ht="15.75" customHeight="1" x14ac:dyDescent="0.2"/>
    <row r="60" s="11" customFormat="1" ht="15.75" customHeight="1" x14ac:dyDescent="0.2"/>
    <row r="61" s="11" customFormat="1" ht="15.75" customHeight="1" x14ac:dyDescent="0.2"/>
    <row r="62" s="11" customFormat="1" ht="15.75" customHeight="1" x14ac:dyDescent="0.2"/>
    <row r="63" s="11" customFormat="1" ht="15.75" customHeight="1" x14ac:dyDescent="0.2"/>
    <row r="64" s="11" customFormat="1" ht="15.75" customHeight="1" x14ac:dyDescent="0.2"/>
    <row r="65" s="11" customFormat="1" ht="15.75" customHeight="1" x14ac:dyDescent="0.2"/>
    <row r="66" s="11" customFormat="1" ht="15.75" customHeight="1" x14ac:dyDescent="0.2"/>
    <row r="67" s="11" customFormat="1" ht="15.75" customHeight="1" x14ac:dyDescent="0.2"/>
    <row r="68" s="11" customFormat="1" ht="15.75" customHeight="1" x14ac:dyDescent="0.2"/>
    <row r="69" s="11" customFormat="1" ht="15.75" customHeight="1" x14ac:dyDescent="0.2"/>
    <row r="70" s="11" customFormat="1" ht="15.75" customHeight="1" x14ac:dyDescent="0.2"/>
    <row r="71" s="11" customFormat="1" ht="15.75" customHeight="1" x14ac:dyDescent="0.2"/>
    <row r="72" s="11" customFormat="1" ht="15.75" customHeight="1" x14ac:dyDescent="0.2"/>
    <row r="73" s="11" customFormat="1" ht="15.75" customHeight="1" x14ac:dyDescent="0.2"/>
    <row r="74" s="11" customFormat="1" ht="15.75" customHeight="1" x14ac:dyDescent="0.2"/>
    <row r="75" s="11" customFormat="1" ht="15.75" customHeight="1" x14ac:dyDescent="0.2"/>
    <row r="76" s="11" customFormat="1" ht="15.75" customHeight="1" x14ac:dyDescent="0.2"/>
    <row r="77" s="11" customFormat="1" ht="15.75" customHeight="1" x14ac:dyDescent="0.2"/>
    <row r="78" s="11" customFormat="1" ht="15.75" customHeight="1" x14ac:dyDescent="0.2"/>
    <row r="79" s="11" customFormat="1" ht="15.75" customHeight="1" x14ac:dyDescent="0.2"/>
    <row r="80" s="11" customFormat="1" ht="15.75" customHeight="1" x14ac:dyDescent="0.2"/>
    <row r="81" s="11" customFormat="1" ht="15.75" customHeight="1" x14ac:dyDescent="0.2"/>
    <row r="82" s="11" customFormat="1" ht="15.75" customHeight="1" x14ac:dyDescent="0.2"/>
    <row r="83" s="11" customFormat="1" ht="15.75" customHeight="1" x14ac:dyDescent="0.2"/>
    <row r="84" s="11" customFormat="1" ht="15.75" customHeight="1" x14ac:dyDescent="0.2"/>
    <row r="85" s="11" customFormat="1" ht="15.75" customHeight="1" x14ac:dyDescent="0.2"/>
    <row r="86" s="11" customFormat="1" ht="15.75" customHeight="1" x14ac:dyDescent="0.2"/>
    <row r="87" s="11" customFormat="1" ht="15.75" customHeight="1" x14ac:dyDescent="0.2"/>
    <row r="88" s="11" customFormat="1" ht="15.75" customHeight="1" x14ac:dyDescent="0.2"/>
    <row r="89" s="11" customFormat="1" ht="15.75" customHeight="1" x14ac:dyDescent="0.2"/>
    <row r="90" s="11" customFormat="1" ht="15.75" customHeight="1" x14ac:dyDescent="0.2"/>
    <row r="91" s="11" customFormat="1" ht="15.75" customHeight="1" x14ac:dyDescent="0.2"/>
    <row r="92" s="11" customFormat="1" ht="15.75" customHeight="1" x14ac:dyDescent="0.2"/>
    <row r="93" s="11" customFormat="1" ht="15.75" customHeight="1" x14ac:dyDescent="0.2"/>
    <row r="94" s="11" customFormat="1" ht="15.75" customHeight="1" x14ac:dyDescent="0.2"/>
    <row r="95" s="11" customFormat="1" ht="15.75" customHeight="1" x14ac:dyDescent="0.2"/>
    <row r="96" s="11" customFormat="1" ht="15.75" customHeight="1" x14ac:dyDescent="0.2"/>
    <row r="97" s="11" customFormat="1" ht="15.75" customHeight="1" x14ac:dyDescent="0.2"/>
    <row r="98" s="11" customFormat="1" ht="15.75" customHeight="1" x14ac:dyDescent="0.2"/>
    <row r="99" s="11" customFormat="1" ht="15.75" customHeight="1" x14ac:dyDescent="0.2"/>
    <row r="100" s="11" customFormat="1" ht="15.75" customHeight="1" x14ac:dyDescent="0.2"/>
    <row r="101" s="11" customFormat="1" ht="15.75" customHeight="1" x14ac:dyDescent="0.2"/>
    <row r="102" s="11" customFormat="1" ht="15.75" customHeight="1" x14ac:dyDescent="0.2"/>
    <row r="103" s="11" customFormat="1" ht="15.75" customHeight="1" x14ac:dyDescent="0.2"/>
    <row r="104" s="11" customFormat="1" ht="15.75" customHeight="1" x14ac:dyDescent="0.2"/>
    <row r="105" s="11" customFormat="1" ht="15.75" customHeight="1" x14ac:dyDescent="0.2"/>
    <row r="106" s="11" customFormat="1" ht="15.75" customHeight="1" x14ac:dyDescent="0.2"/>
    <row r="107" s="11" customFormat="1" ht="15.75" customHeight="1" x14ac:dyDescent="0.2"/>
    <row r="108" s="11" customFormat="1" ht="15.75" customHeight="1" x14ac:dyDescent="0.2"/>
    <row r="109" s="11" customFormat="1" ht="15.75" customHeight="1" x14ac:dyDescent="0.2"/>
    <row r="110" s="11" customFormat="1" ht="15.75" customHeight="1" x14ac:dyDescent="0.2"/>
    <row r="111" s="11" customFormat="1" ht="15.75" customHeight="1" x14ac:dyDescent="0.2"/>
    <row r="112" s="11" customFormat="1" ht="15.75" customHeight="1" x14ac:dyDescent="0.2"/>
    <row r="113" s="11" customFormat="1" ht="15.75" customHeight="1" x14ac:dyDescent="0.2"/>
    <row r="114" s="11" customFormat="1" ht="15.75" customHeight="1" x14ac:dyDescent="0.2"/>
    <row r="115" s="11" customFormat="1" ht="15.75" customHeight="1" x14ac:dyDescent="0.2"/>
    <row r="116" s="11" customFormat="1" ht="15.75" customHeight="1" x14ac:dyDescent="0.2"/>
    <row r="117" s="11" customFormat="1" ht="15.75" customHeight="1" x14ac:dyDescent="0.2"/>
    <row r="118" s="11" customFormat="1" ht="15.75" customHeight="1" x14ac:dyDescent="0.2"/>
    <row r="119" s="11" customFormat="1" ht="15.75" customHeight="1" x14ac:dyDescent="0.2"/>
    <row r="120" s="11" customFormat="1" ht="15.75" customHeight="1" x14ac:dyDescent="0.2"/>
    <row r="121" s="11" customFormat="1" ht="15.75" customHeight="1" x14ac:dyDescent="0.2"/>
    <row r="122" s="11" customFormat="1" ht="15.75" customHeight="1" x14ac:dyDescent="0.2"/>
    <row r="123" s="11" customFormat="1" ht="15.75" customHeight="1" x14ac:dyDescent="0.2"/>
    <row r="124" s="11" customFormat="1" ht="15.75" customHeight="1" x14ac:dyDescent="0.2"/>
    <row r="125" s="11" customFormat="1" ht="15.75" customHeight="1" x14ac:dyDescent="0.2"/>
    <row r="126" s="11" customFormat="1" ht="15.75" customHeight="1" x14ac:dyDescent="0.2"/>
    <row r="127" s="11" customFormat="1" ht="15.75" customHeight="1" x14ac:dyDescent="0.2"/>
    <row r="128" s="11" customFormat="1" ht="15.75" customHeight="1" x14ac:dyDescent="0.2"/>
    <row r="129" s="11" customFormat="1" ht="15.75" customHeight="1" x14ac:dyDescent="0.2"/>
    <row r="130" s="11" customFormat="1" ht="15.75" customHeight="1" x14ac:dyDescent="0.2"/>
    <row r="131" s="11" customFormat="1" ht="15.75" customHeight="1" x14ac:dyDescent="0.2"/>
    <row r="132" s="11" customFormat="1" ht="15.75" customHeight="1" x14ac:dyDescent="0.2"/>
    <row r="133" s="11" customFormat="1" ht="15.75" customHeight="1" x14ac:dyDescent="0.2"/>
    <row r="134" s="11" customFormat="1" ht="15.75" customHeight="1" x14ac:dyDescent="0.2"/>
    <row r="135" s="11" customFormat="1" ht="15.75" customHeight="1" x14ac:dyDescent="0.2"/>
    <row r="136" s="11" customFormat="1" ht="15.75" customHeight="1" x14ac:dyDescent="0.2"/>
    <row r="137" s="11" customFormat="1" ht="15.75" customHeight="1" x14ac:dyDescent="0.2"/>
    <row r="138" s="11" customFormat="1" ht="15.75" customHeight="1" x14ac:dyDescent="0.2"/>
    <row r="139" s="11" customFormat="1" ht="15.75" customHeight="1" x14ac:dyDescent="0.2"/>
    <row r="140" s="11" customFormat="1" ht="15.75" customHeight="1" x14ac:dyDescent="0.2"/>
    <row r="141" s="11" customFormat="1" ht="15.75" customHeight="1" x14ac:dyDescent="0.2"/>
    <row r="142" s="11" customFormat="1" ht="15.75" customHeight="1" x14ac:dyDescent="0.2"/>
    <row r="143" s="11" customFormat="1" ht="15.75" customHeight="1" x14ac:dyDescent="0.2"/>
    <row r="144" s="11" customFormat="1" ht="15.75" customHeight="1" x14ac:dyDescent="0.2"/>
    <row r="145" s="11" customFormat="1" ht="15.75" customHeight="1" x14ac:dyDescent="0.2"/>
    <row r="146" s="11" customFormat="1" ht="15.75" customHeight="1" x14ac:dyDescent="0.2"/>
    <row r="147" s="11" customFormat="1" ht="15.75" customHeight="1" x14ac:dyDescent="0.2"/>
    <row r="148" s="11" customFormat="1" ht="15.75" customHeight="1" x14ac:dyDescent="0.2"/>
    <row r="149" s="11" customFormat="1" ht="15.75" customHeight="1" x14ac:dyDescent="0.2"/>
    <row r="150" s="11" customFormat="1" ht="15.75" customHeight="1" x14ac:dyDescent="0.2"/>
    <row r="151" s="11" customFormat="1" ht="15.75" customHeight="1" x14ac:dyDescent="0.2"/>
    <row r="152" s="11" customFormat="1" ht="15.75" customHeight="1" x14ac:dyDescent="0.2"/>
    <row r="153" s="11" customFormat="1" ht="15.75" customHeight="1" x14ac:dyDescent="0.2"/>
    <row r="154" s="11" customFormat="1" ht="15.75" customHeight="1" x14ac:dyDescent="0.2"/>
    <row r="155" s="11" customFormat="1" ht="15.75" customHeight="1" x14ac:dyDescent="0.2"/>
    <row r="156" s="11" customFormat="1" ht="15.75" customHeight="1" x14ac:dyDescent="0.2"/>
    <row r="157" s="11" customFormat="1" ht="15.75" customHeight="1" x14ac:dyDescent="0.2"/>
    <row r="158" s="11" customFormat="1" ht="15.75" customHeight="1" x14ac:dyDescent="0.2"/>
    <row r="159" s="11" customFormat="1" ht="15.75" customHeight="1" x14ac:dyDescent="0.2"/>
    <row r="160" s="11" customFormat="1" ht="15.75" customHeight="1" x14ac:dyDescent="0.2"/>
    <row r="161" s="11" customFormat="1" ht="15.75" customHeight="1" x14ac:dyDescent="0.2"/>
    <row r="162" s="11" customFormat="1" ht="15.75" customHeight="1" x14ac:dyDescent="0.2"/>
    <row r="163" s="11" customFormat="1" ht="15.75" customHeight="1" x14ac:dyDescent="0.2"/>
    <row r="164" s="11" customFormat="1" ht="15.75" customHeight="1" x14ac:dyDescent="0.2"/>
    <row r="165" s="11" customFormat="1" ht="15.75" customHeight="1" x14ac:dyDescent="0.2"/>
    <row r="166" s="11" customFormat="1" ht="15.75" customHeight="1" x14ac:dyDescent="0.2"/>
    <row r="167" s="11" customFormat="1" ht="15.75" customHeight="1" x14ac:dyDescent="0.2"/>
    <row r="168" s="11" customFormat="1" ht="15.75" customHeight="1" x14ac:dyDescent="0.2"/>
    <row r="169" s="11" customFormat="1" ht="15.75" customHeight="1" x14ac:dyDescent="0.2"/>
    <row r="170" s="11" customFormat="1" ht="15.75" customHeight="1" x14ac:dyDescent="0.2"/>
    <row r="171" s="11" customFormat="1" ht="15.75" customHeight="1" x14ac:dyDescent="0.2"/>
    <row r="172" s="11" customFormat="1" ht="15.75" customHeight="1" x14ac:dyDescent="0.2"/>
    <row r="173" s="11" customFormat="1" ht="15.75" customHeight="1" x14ac:dyDescent="0.2"/>
    <row r="174" s="11" customFormat="1" ht="15.75" customHeight="1" x14ac:dyDescent="0.2"/>
    <row r="175" s="11" customFormat="1" ht="15.75" customHeight="1" x14ac:dyDescent="0.2"/>
    <row r="176" s="11" customFormat="1" ht="15.75" customHeight="1" x14ac:dyDescent="0.2"/>
    <row r="177" s="11" customFormat="1" ht="15.75" customHeight="1" x14ac:dyDescent="0.2"/>
    <row r="178" s="11" customFormat="1" ht="15.75" customHeight="1" x14ac:dyDescent="0.2"/>
    <row r="179" s="11" customFormat="1" ht="15.75" customHeight="1" x14ac:dyDescent="0.2"/>
    <row r="180" s="11" customFormat="1" ht="15.75" customHeight="1" x14ac:dyDescent="0.2"/>
    <row r="181" s="11" customFormat="1" ht="15.75" customHeight="1" x14ac:dyDescent="0.2"/>
    <row r="182" s="11" customFormat="1" ht="15.75" customHeight="1" x14ac:dyDescent="0.2"/>
    <row r="183" s="11" customFormat="1" ht="15.75" customHeight="1" x14ac:dyDescent="0.2"/>
    <row r="184" s="11" customFormat="1" ht="15.75" customHeight="1" x14ac:dyDescent="0.2"/>
    <row r="185" s="11" customFormat="1" ht="15.75" customHeight="1" x14ac:dyDescent="0.2"/>
    <row r="186" s="11" customFormat="1" ht="15.75" customHeight="1" x14ac:dyDescent="0.2"/>
    <row r="187" s="11" customFormat="1" ht="15.75" customHeight="1" x14ac:dyDescent="0.2"/>
    <row r="188" s="11" customFormat="1" ht="15.75" customHeight="1" x14ac:dyDescent="0.2"/>
    <row r="189" s="11" customFormat="1" ht="15.75" customHeight="1" x14ac:dyDescent="0.2"/>
    <row r="190" s="11" customFormat="1" ht="15.75" customHeight="1" x14ac:dyDescent="0.2"/>
    <row r="191" s="11" customFormat="1" ht="15.75" customHeight="1" x14ac:dyDescent="0.2"/>
    <row r="192" s="11" customFormat="1" ht="15.75" customHeight="1" x14ac:dyDescent="0.2"/>
    <row r="193" s="11" customFormat="1" ht="15.75" customHeight="1" x14ac:dyDescent="0.2"/>
    <row r="194" s="11" customFormat="1" ht="15.75" customHeight="1" x14ac:dyDescent="0.2"/>
    <row r="195" s="11" customFormat="1" ht="15.75" customHeight="1" x14ac:dyDescent="0.2"/>
    <row r="196" s="11" customFormat="1" ht="15.75" customHeight="1" x14ac:dyDescent="0.2"/>
    <row r="197" s="11" customFormat="1" ht="15.75" customHeight="1" x14ac:dyDescent="0.2"/>
    <row r="198" s="11" customFormat="1" ht="15.75" customHeight="1" x14ac:dyDescent="0.2"/>
    <row r="199" s="11" customFormat="1" ht="15.75" customHeight="1" x14ac:dyDescent="0.2"/>
    <row r="200" s="11" customFormat="1" ht="15.75" customHeight="1" x14ac:dyDescent="0.2"/>
    <row r="201" s="11" customFormat="1" ht="15.75" customHeight="1" x14ac:dyDescent="0.2"/>
    <row r="202" s="11" customFormat="1" ht="15.75" customHeight="1" x14ac:dyDescent="0.2"/>
    <row r="203" s="11" customFormat="1" ht="15.75" customHeight="1" x14ac:dyDescent="0.2"/>
    <row r="204" s="11" customFormat="1" ht="15.75" customHeight="1" x14ac:dyDescent="0.2"/>
    <row r="205" s="11" customFormat="1" ht="15.75" customHeight="1" x14ac:dyDescent="0.2"/>
    <row r="206" s="11" customFormat="1" ht="15.75" customHeight="1" x14ac:dyDescent="0.2"/>
    <row r="207" s="11" customFormat="1" ht="15.75" customHeight="1" x14ac:dyDescent="0.2"/>
    <row r="208" s="11" customFormat="1" ht="15.75" customHeight="1" x14ac:dyDescent="0.2"/>
    <row r="209" s="11" customFormat="1" ht="15.75" customHeight="1" x14ac:dyDescent="0.2"/>
    <row r="210" s="11" customFormat="1" ht="15.75" customHeight="1" x14ac:dyDescent="0.2"/>
    <row r="211" s="11" customFormat="1" ht="15.75" customHeight="1" x14ac:dyDescent="0.2"/>
    <row r="212" s="11" customFormat="1" ht="15.75" customHeight="1" x14ac:dyDescent="0.2"/>
    <row r="213" s="11" customFormat="1" ht="15.75" customHeight="1" x14ac:dyDescent="0.2"/>
    <row r="214" s="11" customFormat="1" ht="15.75" customHeight="1" x14ac:dyDescent="0.2"/>
    <row r="215" s="11" customFormat="1" ht="15.75" customHeight="1" x14ac:dyDescent="0.2"/>
    <row r="216" s="11" customFormat="1" ht="15.75" customHeight="1" x14ac:dyDescent="0.2"/>
    <row r="217" s="11" customFormat="1" ht="15.75" customHeight="1" x14ac:dyDescent="0.2"/>
    <row r="218" s="11" customFormat="1" ht="15.75" customHeight="1" x14ac:dyDescent="0.2"/>
    <row r="219" s="11" customFormat="1" ht="15.75" customHeight="1" x14ac:dyDescent="0.2"/>
    <row r="220" s="11" customFormat="1" ht="15.75" customHeight="1" x14ac:dyDescent="0.2"/>
    <row r="221" s="11" customFormat="1" ht="15.75" customHeight="1" x14ac:dyDescent="0.2"/>
    <row r="222" s="11" customFormat="1" ht="15.75" customHeight="1" x14ac:dyDescent="0.2"/>
    <row r="223" s="11" customFormat="1" ht="15.75" customHeight="1" x14ac:dyDescent="0.2"/>
    <row r="224" s="11" customFormat="1" ht="15.75" customHeight="1" x14ac:dyDescent="0.2"/>
    <row r="225" s="11" customFormat="1" ht="15.75" customHeight="1" x14ac:dyDescent="0.2"/>
    <row r="226" s="11" customFormat="1" ht="15.75" customHeight="1" x14ac:dyDescent="0.2"/>
    <row r="227" s="11" customFormat="1" ht="15.75" customHeight="1" x14ac:dyDescent="0.2"/>
    <row r="228" s="11" customFormat="1" ht="15.75" customHeight="1" x14ac:dyDescent="0.2"/>
    <row r="229" s="11" customFormat="1" ht="15.75" customHeight="1" x14ac:dyDescent="0.2"/>
    <row r="230" s="11" customFormat="1" ht="15.75" customHeight="1" x14ac:dyDescent="0.2"/>
    <row r="231" s="11" customFormat="1" ht="15.75" customHeight="1" x14ac:dyDescent="0.2"/>
    <row r="232" s="11" customFormat="1" ht="15.75" customHeight="1" x14ac:dyDescent="0.2"/>
    <row r="233" s="11" customFormat="1" ht="15.75" customHeight="1" x14ac:dyDescent="0.2"/>
    <row r="234" s="11" customFormat="1" ht="15.75" customHeight="1" x14ac:dyDescent="0.2"/>
    <row r="235" s="11" customFormat="1" ht="15.75" customHeight="1" x14ac:dyDescent="0.2"/>
    <row r="236" s="11" customFormat="1" ht="15.75" customHeight="1" x14ac:dyDescent="0.2"/>
    <row r="237" s="11" customFormat="1" ht="15.75" customHeight="1" x14ac:dyDescent="0.2"/>
    <row r="238" s="11" customFormat="1" ht="15.75" customHeight="1" x14ac:dyDescent="0.2"/>
    <row r="239" s="11" customFormat="1" ht="15.75" customHeight="1" x14ac:dyDescent="0.2"/>
    <row r="240" s="11" customFormat="1" ht="15.75" customHeight="1" x14ac:dyDescent="0.2"/>
    <row r="241" s="11" customFormat="1" ht="15.75" customHeight="1" x14ac:dyDescent="0.2"/>
    <row r="242" s="11" customFormat="1" ht="15.75" customHeight="1" x14ac:dyDescent="0.2"/>
    <row r="243" s="11" customFormat="1" ht="15.75" customHeight="1" x14ac:dyDescent="0.2"/>
    <row r="244" s="11" customFormat="1" ht="15.75" customHeight="1" x14ac:dyDescent="0.2"/>
    <row r="245" s="11" customFormat="1" ht="15.75" customHeight="1" x14ac:dyDescent="0.2"/>
    <row r="246" s="11" customFormat="1" ht="15.75" customHeight="1" x14ac:dyDescent="0.2"/>
    <row r="247" s="11" customFormat="1" ht="15.75" customHeight="1" x14ac:dyDescent="0.2"/>
    <row r="248" s="11" customFormat="1" ht="15.75" customHeight="1" x14ac:dyDescent="0.2"/>
    <row r="249" s="11" customFormat="1" ht="15.75" customHeight="1" x14ac:dyDescent="0.2"/>
    <row r="250" s="11" customFormat="1" ht="15.75" customHeight="1" x14ac:dyDescent="0.2"/>
    <row r="251" s="11" customFormat="1" ht="15.75" customHeight="1" x14ac:dyDescent="0.2"/>
    <row r="252" s="11" customFormat="1" ht="15.75" customHeight="1" x14ac:dyDescent="0.2"/>
    <row r="253" s="11" customFormat="1" ht="15.75" customHeight="1" x14ac:dyDescent="0.2"/>
    <row r="254" s="11" customFormat="1" ht="15.75" customHeight="1" x14ac:dyDescent="0.2"/>
    <row r="255" s="11" customFormat="1" ht="15.75" customHeight="1" x14ac:dyDescent="0.2"/>
    <row r="256" s="11" customFormat="1" ht="15.75" customHeight="1" x14ac:dyDescent="0.2"/>
    <row r="257" s="11" customFormat="1" ht="15.75" customHeight="1" x14ac:dyDescent="0.2"/>
    <row r="258" s="11" customFormat="1" ht="15.75" customHeight="1" x14ac:dyDescent="0.2"/>
    <row r="259" s="11" customFormat="1" ht="15.75" customHeight="1" x14ac:dyDescent="0.2"/>
    <row r="260" s="11" customFormat="1" ht="15.75" customHeight="1" x14ac:dyDescent="0.2"/>
    <row r="261" s="11" customFormat="1" ht="15.75" customHeight="1" x14ac:dyDescent="0.2"/>
    <row r="262" s="11" customFormat="1" ht="15.75" customHeight="1" x14ac:dyDescent="0.2"/>
    <row r="263" s="11" customFormat="1" ht="15.75" customHeight="1" x14ac:dyDescent="0.2"/>
    <row r="264" s="11" customFormat="1" ht="15.75" customHeight="1" x14ac:dyDescent="0.2"/>
    <row r="265" s="11" customFormat="1" ht="15.75" customHeight="1" x14ac:dyDescent="0.2"/>
    <row r="266" s="11" customFormat="1" ht="15.75" customHeight="1" x14ac:dyDescent="0.2"/>
    <row r="267" s="11" customFormat="1" ht="15.75" customHeight="1" x14ac:dyDescent="0.2"/>
    <row r="268" s="11" customFormat="1" ht="15.75" customHeight="1" x14ac:dyDescent="0.2"/>
    <row r="269" s="11" customFormat="1" ht="15.75" customHeight="1" x14ac:dyDescent="0.2"/>
    <row r="270" s="11" customFormat="1" ht="15.75" customHeight="1" x14ac:dyDescent="0.2"/>
    <row r="271" s="11" customFormat="1" ht="15.75" customHeight="1" x14ac:dyDescent="0.2"/>
    <row r="272" s="11" customFormat="1" ht="15.75" customHeight="1" x14ac:dyDescent="0.2"/>
    <row r="273" s="11" customFormat="1" ht="15.75" customHeight="1" x14ac:dyDescent="0.2"/>
    <row r="274" s="11" customFormat="1" ht="15.75" customHeight="1" x14ac:dyDescent="0.2"/>
    <row r="275" s="11" customFormat="1" ht="15.75" customHeight="1" x14ac:dyDescent="0.2"/>
    <row r="276" s="11" customFormat="1" ht="15.75" customHeight="1" x14ac:dyDescent="0.2"/>
    <row r="277" s="11" customFormat="1" ht="15.75" customHeight="1" x14ac:dyDescent="0.2"/>
    <row r="278" s="11" customFormat="1" ht="15.75" customHeight="1" x14ac:dyDescent="0.2"/>
    <row r="279" s="11" customFormat="1" ht="15.75" customHeight="1" x14ac:dyDescent="0.2"/>
    <row r="280" s="11" customFormat="1" ht="15.75" customHeight="1" x14ac:dyDescent="0.2"/>
    <row r="281" s="11" customFormat="1" ht="15.75" customHeight="1" x14ac:dyDescent="0.2"/>
    <row r="282" s="11" customFormat="1" ht="15.75" customHeight="1" x14ac:dyDescent="0.2"/>
    <row r="283" s="11" customFormat="1" ht="15.75" customHeight="1" x14ac:dyDescent="0.2"/>
    <row r="284" s="11" customFormat="1" ht="15.75" customHeight="1" x14ac:dyDescent="0.2"/>
    <row r="285" s="11" customFormat="1" ht="15.75" customHeight="1" x14ac:dyDescent="0.2"/>
    <row r="286" s="11" customFormat="1" ht="15.75" customHeight="1" x14ac:dyDescent="0.2"/>
    <row r="287" s="11" customFormat="1" ht="15.75" customHeight="1" x14ac:dyDescent="0.2"/>
    <row r="288" s="11" customFormat="1" ht="15.75" customHeight="1" x14ac:dyDescent="0.2"/>
    <row r="289" s="11" customFormat="1" ht="15.75" customHeight="1" x14ac:dyDescent="0.2"/>
    <row r="290" s="11" customFormat="1" ht="15.75" customHeight="1" x14ac:dyDescent="0.2"/>
    <row r="291" s="11" customFormat="1" ht="15.75" customHeight="1" x14ac:dyDescent="0.2"/>
    <row r="292" s="11" customFormat="1" ht="15.75" customHeight="1" x14ac:dyDescent="0.2"/>
    <row r="293" s="11" customFormat="1" ht="15.75" customHeight="1" x14ac:dyDescent="0.2"/>
    <row r="294" s="11" customFormat="1" ht="15.75" customHeight="1" x14ac:dyDescent="0.2"/>
    <row r="295" s="11" customFormat="1" ht="15.75" customHeight="1" x14ac:dyDescent="0.2"/>
    <row r="296" s="11" customFormat="1" ht="15.75" customHeight="1" x14ac:dyDescent="0.2"/>
    <row r="297" s="11" customFormat="1" ht="15.75" customHeight="1" x14ac:dyDescent="0.2"/>
    <row r="298" s="11" customFormat="1" ht="15.75" customHeight="1" x14ac:dyDescent="0.2"/>
    <row r="299" s="11" customFormat="1" ht="15.75" customHeight="1" x14ac:dyDescent="0.2"/>
    <row r="300" s="11" customFormat="1" ht="15.75" customHeight="1" x14ac:dyDescent="0.2"/>
    <row r="301" s="11" customFormat="1" ht="15.75" customHeight="1" x14ac:dyDescent="0.2"/>
    <row r="302" s="11" customFormat="1" ht="15.75" customHeight="1" x14ac:dyDescent="0.2"/>
    <row r="303" s="11" customFormat="1" ht="15.75" customHeight="1" x14ac:dyDescent="0.2"/>
    <row r="304" s="11" customFormat="1" ht="15.75" customHeight="1" x14ac:dyDescent="0.2"/>
    <row r="305" s="11" customFormat="1" ht="15.75" customHeight="1" x14ac:dyDescent="0.2"/>
    <row r="306" s="11" customFormat="1" ht="15.75" customHeight="1" x14ac:dyDescent="0.2"/>
    <row r="307" s="11" customFormat="1" ht="15.75" customHeight="1" x14ac:dyDescent="0.2"/>
    <row r="308" s="11" customFormat="1" ht="15.75" customHeight="1" x14ac:dyDescent="0.2"/>
    <row r="309" s="11" customFormat="1" ht="15.75" customHeight="1" x14ac:dyDescent="0.2"/>
    <row r="310" s="11" customFormat="1" ht="15.75" customHeight="1" x14ac:dyDescent="0.2"/>
    <row r="311" s="11" customFormat="1" ht="15.75" customHeight="1" x14ac:dyDescent="0.2"/>
    <row r="312" s="11" customFormat="1" ht="15.75" customHeight="1" x14ac:dyDescent="0.2"/>
    <row r="313" s="11" customFormat="1" ht="15.75" customHeight="1" x14ac:dyDescent="0.2"/>
    <row r="314" s="11" customFormat="1" ht="15.75" customHeight="1" x14ac:dyDescent="0.2"/>
    <row r="315" s="11" customFormat="1" ht="15.75" customHeight="1" x14ac:dyDescent="0.2"/>
    <row r="316" s="11" customFormat="1" ht="15.75" customHeight="1" x14ac:dyDescent="0.2"/>
    <row r="317" s="11" customFormat="1" ht="15.75" customHeight="1" x14ac:dyDescent="0.2"/>
    <row r="318" s="11" customFormat="1" ht="15.75" customHeight="1" x14ac:dyDescent="0.2"/>
    <row r="319" s="11" customFormat="1" ht="15.75" customHeight="1" x14ac:dyDescent="0.2"/>
    <row r="320" s="11" customFormat="1" ht="15.75" customHeight="1" x14ac:dyDescent="0.2"/>
    <row r="321" s="11" customFormat="1" ht="15.75" customHeight="1" x14ac:dyDescent="0.2"/>
    <row r="322" s="11" customFormat="1" ht="15.75" customHeight="1" x14ac:dyDescent="0.2"/>
    <row r="323" s="11" customFormat="1" ht="15.75" customHeight="1" x14ac:dyDescent="0.2"/>
    <row r="324" s="11" customFormat="1" ht="15.75" customHeight="1" x14ac:dyDescent="0.2"/>
    <row r="325" s="11" customFormat="1" ht="15.75" customHeight="1" x14ac:dyDescent="0.2"/>
    <row r="326" s="11" customFormat="1" ht="15.75" customHeight="1" x14ac:dyDescent="0.2"/>
    <row r="327" s="11" customFormat="1" ht="15.75" customHeight="1" x14ac:dyDescent="0.2"/>
    <row r="328" s="11" customFormat="1" ht="15.75" customHeight="1" x14ac:dyDescent="0.2"/>
    <row r="329" s="11" customFormat="1" ht="15.75" customHeight="1" x14ac:dyDescent="0.2"/>
    <row r="330" s="11" customFormat="1" ht="15.75" customHeight="1" x14ac:dyDescent="0.2"/>
    <row r="331" s="11" customFormat="1" ht="15.75" customHeight="1" x14ac:dyDescent="0.2"/>
    <row r="332" s="11" customFormat="1" ht="15.75" customHeight="1" x14ac:dyDescent="0.2"/>
    <row r="333" s="11" customFormat="1" ht="15.75" customHeight="1" x14ac:dyDescent="0.2"/>
    <row r="334" s="11" customFormat="1" ht="15.75" customHeight="1" x14ac:dyDescent="0.2"/>
    <row r="335" s="11" customFormat="1" ht="15.75" customHeight="1" x14ac:dyDescent="0.2"/>
    <row r="336" s="11" customFormat="1" ht="15.75" customHeight="1" x14ac:dyDescent="0.2"/>
    <row r="337" s="11" customFormat="1" ht="15.75" customHeight="1" x14ac:dyDescent="0.2"/>
    <row r="338" s="11" customFormat="1" ht="15.75" customHeight="1" x14ac:dyDescent="0.2"/>
    <row r="339" s="11" customFormat="1" ht="15.75" customHeight="1" x14ac:dyDescent="0.2"/>
    <row r="340" s="11" customFormat="1" ht="15.75" customHeight="1" x14ac:dyDescent="0.2"/>
    <row r="341" s="11" customFormat="1" ht="15.75" customHeight="1" x14ac:dyDescent="0.2"/>
    <row r="342" s="11" customFormat="1" ht="15.75" customHeight="1" x14ac:dyDescent="0.2"/>
    <row r="343" s="11" customFormat="1" ht="15.75" customHeight="1" x14ac:dyDescent="0.2"/>
    <row r="344" s="11" customFormat="1" ht="15.75" customHeight="1" x14ac:dyDescent="0.2"/>
    <row r="345" s="11" customFormat="1" ht="15.75" customHeight="1" x14ac:dyDescent="0.2"/>
    <row r="346" s="11" customFormat="1" ht="15.75" customHeight="1" x14ac:dyDescent="0.2"/>
    <row r="347" s="11" customFormat="1" ht="15.75" customHeight="1" x14ac:dyDescent="0.2"/>
    <row r="348" s="11" customFormat="1" ht="15.75" customHeight="1" x14ac:dyDescent="0.2"/>
    <row r="349" s="11" customFormat="1" ht="15.75" customHeight="1" x14ac:dyDescent="0.2"/>
    <row r="350" s="11" customFormat="1" ht="15.75" customHeight="1" x14ac:dyDescent="0.2"/>
    <row r="351" s="11" customFormat="1" ht="15.75" customHeight="1" x14ac:dyDescent="0.2"/>
    <row r="352" s="11" customFormat="1" ht="15.75" customHeight="1" x14ac:dyDescent="0.2"/>
    <row r="353" s="11" customFormat="1" ht="15.75" customHeight="1" x14ac:dyDescent="0.2"/>
    <row r="354" s="11" customFormat="1" ht="15.75" customHeight="1" x14ac:dyDescent="0.2"/>
    <row r="355" s="11" customFormat="1" ht="15.75" customHeight="1" x14ac:dyDescent="0.2"/>
    <row r="356" s="11" customFormat="1" ht="15.75" customHeight="1" x14ac:dyDescent="0.2"/>
    <row r="357" s="11" customFormat="1" ht="15.75" customHeight="1" x14ac:dyDescent="0.2"/>
    <row r="358" s="11" customFormat="1" ht="15.75" customHeight="1" x14ac:dyDescent="0.2"/>
    <row r="359" s="11" customFormat="1" ht="15.75" customHeight="1" x14ac:dyDescent="0.2"/>
    <row r="360" s="11" customFormat="1" ht="15.75" customHeight="1" x14ac:dyDescent="0.2"/>
    <row r="361" s="11" customFormat="1" ht="15.75" customHeight="1" x14ac:dyDescent="0.2"/>
    <row r="362" s="11" customFormat="1" ht="15.75" customHeight="1" x14ac:dyDescent="0.2"/>
    <row r="363" s="11" customFormat="1" ht="15.75" customHeight="1" x14ac:dyDescent="0.2"/>
    <row r="364" s="11" customFormat="1" ht="15.75" customHeight="1" x14ac:dyDescent="0.2"/>
    <row r="365" s="11" customFormat="1" ht="15.75" customHeight="1" x14ac:dyDescent="0.2"/>
    <row r="366" s="11" customFormat="1" ht="15.75" customHeight="1" x14ac:dyDescent="0.2"/>
    <row r="367" s="11" customFormat="1" ht="15.75" customHeight="1" x14ac:dyDescent="0.2"/>
    <row r="368" s="11" customFormat="1" ht="15.75" customHeight="1" x14ac:dyDescent="0.2"/>
    <row r="369" s="11" customFormat="1" ht="15.75" customHeight="1" x14ac:dyDescent="0.2"/>
    <row r="370" s="11" customFormat="1" ht="15.75" customHeight="1" x14ac:dyDescent="0.2"/>
    <row r="371" s="11" customFormat="1" ht="15.75" customHeight="1" x14ac:dyDescent="0.2"/>
    <row r="372" s="11" customFormat="1" ht="15.75" customHeight="1" x14ac:dyDescent="0.2"/>
    <row r="373" s="11" customFormat="1" ht="15.75" customHeight="1" x14ac:dyDescent="0.2"/>
    <row r="374" s="11" customFormat="1" ht="15.75" customHeight="1" x14ac:dyDescent="0.2"/>
    <row r="375" s="11" customFormat="1" ht="15.75" customHeight="1" x14ac:dyDescent="0.2"/>
    <row r="376" s="11" customFormat="1" ht="15.75" customHeight="1" x14ac:dyDescent="0.2"/>
    <row r="377" s="11" customFormat="1" ht="15.75" customHeight="1" x14ac:dyDescent="0.2"/>
    <row r="378" s="11" customFormat="1" ht="15.75" customHeight="1" x14ac:dyDescent="0.2"/>
    <row r="379" s="11" customFormat="1" ht="15.75" customHeight="1" x14ac:dyDescent="0.2"/>
    <row r="380" s="11" customFormat="1" ht="15.75" customHeight="1" x14ac:dyDescent="0.2"/>
    <row r="381" s="11" customFormat="1" ht="15.75" customHeight="1" x14ac:dyDescent="0.2"/>
    <row r="382" s="11" customFormat="1" ht="15.75" customHeight="1" x14ac:dyDescent="0.2"/>
    <row r="383" s="11" customFormat="1" ht="15.75" customHeight="1" x14ac:dyDescent="0.2"/>
    <row r="384" s="11" customFormat="1" ht="15.75" customHeight="1" x14ac:dyDescent="0.2"/>
    <row r="385" s="11" customFormat="1" ht="15.75" customHeight="1" x14ac:dyDescent="0.2"/>
    <row r="386" s="11" customFormat="1" ht="15.75" customHeight="1" x14ac:dyDescent="0.2"/>
    <row r="387" s="11" customFormat="1" ht="15.75" customHeight="1" x14ac:dyDescent="0.2"/>
    <row r="388" s="11" customFormat="1" ht="15.75" customHeight="1" x14ac:dyDescent="0.2"/>
    <row r="389" s="11" customFormat="1" ht="15.75" customHeight="1" x14ac:dyDescent="0.2"/>
    <row r="390" s="11" customFormat="1" ht="15.75" customHeight="1" x14ac:dyDescent="0.2"/>
    <row r="391" s="11" customFormat="1" ht="15.75" customHeight="1" x14ac:dyDescent="0.2"/>
    <row r="392" s="11" customFormat="1" ht="15.75" customHeight="1" x14ac:dyDescent="0.2"/>
    <row r="393" s="11" customFormat="1" ht="15.75" customHeight="1" x14ac:dyDescent="0.2"/>
    <row r="394" s="11" customFormat="1" ht="15.75" customHeight="1" x14ac:dyDescent="0.2"/>
    <row r="395" s="11" customFormat="1" ht="15.75" customHeight="1" x14ac:dyDescent="0.2"/>
    <row r="396" s="11" customFormat="1" ht="15.75" customHeight="1" x14ac:dyDescent="0.2"/>
    <row r="397" s="11" customFormat="1" ht="15.75" customHeight="1" x14ac:dyDescent="0.2"/>
    <row r="398" s="11" customFormat="1" ht="15.75" customHeight="1" x14ac:dyDescent="0.2"/>
    <row r="399" s="11" customFormat="1" ht="15.75" customHeight="1" x14ac:dyDescent="0.2"/>
    <row r="400" s="11" customFormat="1" ht="15.75" customHeight="1" x14ac:dyDescent="0.2"/>
    <row r="401" s="11" customFormat="1" ht="15.75" customHeight="1" x14ac:dyDescent="0.2"/>
    <row r="402" s="11" customFormat="1" ht="15.75" customHeight="1" x14ac:dyDescent="0.2"/>
    <row r="403" s="11" customFormat="1" ht="15.75" customHeight="1" x14ac:dyDescent="0.2"/>
    <row r="404" s="11" customFormat="1" ht="15.75" customHeight="1" x14ac:dyDescent="0.2"/>
    <row r="405" s="11" customFormat="1" ht="15.75" customHeight="1" x14ac:dyDescent="0.2"/>
    <row r="406" s="11" customFormat="1" ht="15.75" customHeight="1" x14ac:dyDescent="0.2"/>
    <row r="407" s="11" customFormat="1" ht="15.75" customHeight="1" x14ac:dyDescent="0.2"/>
    <row r="408" s="11" customFormat="1" ht="15.75" customHeight="1" x14ac:dyDescent="0.2"/>
    <row r="409" s="11" customFormat="1" ht="15.75" customHeight="1" x14ac:dyDescent="0.2"/>
    <row r="410" s="11" customFormat="1" ht="15.75" customHeight="1" x14ac:dyDescent="0.2"/>
    <row r="411" s="11" customFormat="1" ht="15.75" customHeight="1" x14ac:dyDescent="0.2"/>
    <row r="412" s="11" customFormat="1" ht="15.75" customHeight="1" x14ac:dyDescent="0.2"/>
    <row r="413" s="11" customFormat="1" ht="15.75" customHeight="1" x14ac:dyDescent="0.2"/>
    <row r="414" s="11" customFormat="1" ht="15.75" customHeight="1" x14ac:dyDescent="0.2"/>
    <row r="415" s="11" customFormat="1" ht="15.75" customHeight="1" x14ac:dyDescent="0.2"/>
    <row r="416" s="11" customFormat="1" ht="15.75" customHeight="1" x14ac:dyDescent="0.2"/>
    <row r="417" s="11" customFormat="1" ht="15.75" customHeight="1" x14ac:dyDescent="0.2"/>
    <row r="418" s="11" customFormat="1" ht="15.75" customHeight="1" x14ac:dyDescent="0.2"/>
    <row r="419" s="11" customFormat="1" ht="15.75" customHeight="1" x14ac:dyDescent="0.2"/>
    <row r="420" s="11" customFormat="1" ht="15.75" customHeight="1" x14ac:dyDescent="0.2"/>
    <row r="421" s="11" customFormat="1" ht="15.75" customHeight="1" x14ac:dyDescent="0.2"/>
    <row r="422" s="11" customFormat="1" ht="15.75" customHeight="1" x14ac:dyDescent="0.2"/>
    <row r="423" s="11" customFormat="1" ht="15.75" customHeight="1" x14ac:dyDescent="0.2"/>
    <row r="424" s="11" customFormat="1" ht="15.75" customHeight="1" x14ac:dyDescent="0.2"/>
    <row r="425" s="11" customFormat="1" ht="15.75" customHeight="1" x14ac:dyDescent="0.2"/>
    <row r="426" s="11" customFormat="1" ht="15.75" customHeight="1" x14ac:dyDescent="0.2"/>
    <row r="427" s="11" customFormat="1" ht="15.75" customHeight="1" x14ac:dyDescent="0.2"/>
    <row r="428" s="11" customFormat="1" ht="15.75" customHeight="1" x14ac:dyDescent="0.2"/>
    <row r="429" s="11" customFormat="1" ht="15.75" customHeight="1" x14ac:dyDescent="0.2"/>
    <row r="430" s="11" customFormat="1" ht="15.75" customHeight="1" x14ac:dyDescent="0.2"/>
    <row r="431" s="11" customFormat="1" ht="15.75" customHeight="1" x14ac:dyDescent="0.2"/>
    <row r="432" s="11" customFormat="1" ht="15.75" customHeight="1" x14ac:dyDescent="0.2"/>
    <row r="433" s="11" customFormat="1" ht="15.75" customHeight="1" x14ac:dyDescent="0.2"/>
    <row r="434" s="11" customFormat="1" ht="15.75" customHeight="1" x14ac:dyDescent="0.2"/>
    <row r="435" s="11" customFormat="1" ht="15.75" customHeight="1" x14ac:dyDescent="0.2"/>
    <row r="436" s="11" customFormat="1" ht="15.75" customHeight="1" x14ac:dyDescent="0.2"/>
    <row r="437" s="11" customFormat="1" ht="15.75" customHeight="1" x14ac:dyDescent="0.2"/>
    <row r="438" s="11" customFormat="1" ht="15.75" customHeight="1" x14ac:dyDescent="0.2"/>
    <row r="439" s="11" customFormat="1" ht="15.75" customHeight="1" x14ac:dyDescent="0.2"/>
    <row r="440" s="11" customFormat="1" ht="15.75" customHeight="1" x14ac:dyDescent="0.2"/>
    <row r="441" s="11" customFormat="1" ht="15.75" customHeight="1" x14ac:dyDescent="0.2"/>
    <row r="442" s="11" customFormat="1" ht="15.75" customHeight="1" x14ac:dyDescent="0.2"/>
    <row r="443" s="11" customFormat="1" ht="15.75" customHeight="1" x14ac:dyDescent="0.2"/>
    <row r="444" s="11" customFormat="1" ht="15.75" customHeight="1" x14ac:dyDescent="0.2"/>
    <row r="445" s="11" customFormat="1" ht="15.75" customHeight="1" x14ac:dyDescent="0.2"/>
    <row r="446" s="11" customFormat="1" ht="15.75" customHeight="1" x14ac:dyDescent="0.2"/>
    <row r="447" s="11" customFormat="1" ht="15.75" customHeight="1" x14ac:dyDescent="0.2"/>
    <row r="448" s="11" customFormat="1" ht="15.75" customHeight="1" x14ac:dyDescent="0.2"/>
    <row r="449" s="11" customFormat="1" ht="15.75" customHeight="1" x14ac:dyDescent="0.2"/>
    <row r="450" s="11" customFormat="1" ht="15.75" customHeight="1" x14ac:dyDescent="0.2"/>
    <row r="451" s="11" customFormat="1" ht="15.75" customHeight="1" x14ac:dyDescent="0.2"/>
    <row r="452" s="11" customFormat="1" ht="15.75" customHeight="1" x14ac:dyDescent="0.2"/>
    <row r="453" s="11" customFormat="1" ht="15.75" customHeight="1" x14ac:dyDescent="0.2"/>
    <row r="454" s="11" customFormat="1" ht="15.75" customHeight="1" x14ac:dyDescent="0.2"/>
    <row r="455" s="11" customFormat="1" ht="15.75" customHeight="1" x14ac:dyDescent="0.2"/>
    <row r="456" s="11" customFormat="1" ht="15.75" customHeight="1" x14ac:dyDescent="0.2"/>
    <row r="457" s="11" customFormat="1" ht="15.75" customHeight="1" x14ac:dyDescent="0.2"/>
    <row r="458" s="11" customFormat="1" ht="15.75" customHeight="1" x14ac:dyDescent="0.2"/>
    <row r="459" s="11" customFormat="1" ht="15.75" customHeight="1" x14ac:dyDescent="0.2"/>
    <row r="460" s="11" customFormat="1" ht="15.75" customHeight="1" x14ac:dyDescent="0.2"/>
    <row r="461" s="11" customFormat="1" ht="15.75" customHeight="1" x14ac:dyDescent="0.2"/>
    <row r="462" s="11" customFormat="1" ht="15.75" customHeight="1" x14ac:dyDescent="0.2"/>
    <row r="463" s="11" customFormat="1" ht="15.75" customHeight="1" x14ac:dyDescent="0.2"/>
    <row r="464" s="11" customFormat="1" ht="15.75" customHeight="1" x14ac:dyDescent="0.2"/>
    <row r="465" s="11" customFormat="1" ht="15.75" customHeight="1" x14ac:dyDescent="0.2"/>
    <row r="466" s="11" customFormat="1" ht="15.75" customHeight="1" x14ac:dyDescent="0.2"/>
    <row r="467" s="11" customFormat="1" ht="15.75" customHeight="1" x14ac:dyDescent="0.2"/>
    <row r="468" s="11" customFormat="1" ht="15.75" customHeight="1" x14ac:dyDescent="0.2"/>
    <row r="469" s="11" customFormat="1" ht="15.75" customHeight="1" x14ac:dyDescent="0.2"/>
    <row r="470" s="11" customFormat="1" ht="15.75" customHeight="1" x14ac:dyDescent="0.2"/>
    <row r="471" s="11" customFormat="1" ht="15.75" customHeight="1" x14ac:dyDescent="0.2"/>
    <row r="472" s="11" customFormat="1" ht="15.75" customHeight="1" x14ac:dyDescent="0.2"/>
    <row r="473" s="11" customFormat="1" ht="15.75" customHeight="1" x14ac:dyDescent="0.2"/>
    <row r="474" s="11" customFormat="1" ht="15.75" customHeight="1" x14ac:dyDescent="0.2"/>
    <row r="475" s="11" customFormat="1" ht="15.75" customHeight="1" x14ac:dyDescent="0.2"/>
    <row r="476" s="11" customFormat="1" ht="15.75" customHeight="1" x14ac:dyDescent="0.2"/>
    <row r="477" s="11" customFormat="1" ht="15.75" customHeight="1" x14ac:dyDescent="0.2"/>
    <row r="478" s="11" customFormat="1" ht="15.75" customHeight="1" x14ac:dyDescent="0.2"/>
    <row r="479" s="11" customFormat="1" ht="15.75" customHeight="1" x14ac:dyDescent="0.2"/>
    <row r="480" s="11" customFormat="1" ht="15.75" customHeight="1" x14ac:dyDescent="0.2"/>
    <row r="481" s="11" customFormat="1" ht="15.75" customHeight="1" x14ac:dyDescent="0.2"/>
    <row r="482" s="11" customFormat="1" ht="15.75" customHeight="1" x14ac:dyDescent="0.2"/>
    <row r="483" s="11" customFormat="1" ht="15.75" customHeight="1" x14ac:dyDescent="0.2"/>
    <row r="484" s="11" customFormat="1" ht="15.75" customHeight="1" x14ac:dyDescent="0.2"/>
    <row r="485" s="11" customFormat="1" ht="15.75" customHeight="1" x14ac:dyDescent="0.2"/>
    <row r="486" s="11" customFormat="1" ht="15.75" customHeight="1" x14ac:dyDescent="0.2"/>
    <row r="487" s="11" customFormat="1" ht="15.75" customHeight="1" x14ac:dyDescent="0.2"/>
    <row r="488" s="11" customFormat="1" ht="15.75" customHeight="1" x14ac:dyDescent="0.2"/>
    <row r="489" s="11" customFormat="1" ht="15.75" customHeight="1" x14ac:dyDescent="0.2"/>
    <row r="490" s="11" customFormat="1" ht="15.75" customHeight="1" x14ac:dyDescent="0.2"/>
    <row r="491" s="11" customFormat="1" ht="15.75" customHeight="1" x14ac:dyDescent="0.2"/>
    <row r="492" s="11" customFormat="1" ht="15.75" customHeight="1" x14ac:dyDescent="0.2"/>
    <row r="493" s="11" customFormat="1" ht="15.75" customHeight="1" x14ac:dyDescent="0.2"/>
    <row r="494" s="11" customFormat="1" ht="15.75" customHeight="1" x14ac:dyDescent="0.2"/>
    <row r="495" s="11" customFormat="1" ht="15.75" customHeight="1" x14ac:dyDescent="0.2"/>
    <row r="496" s="11" customFormat="1" ht="15.75" customHeight="1" x14ac:dyDescent="0.2"/>
    <row r="497" s="11" customFormat="1" ht="15.75" customHeight="1" x14ac:dyDescent="0.2"/>
    <row r="498" s="11" customFormat="1" ht="15.75" customHeight="1" x14ac:dyDescent="0.2"/>
    <row r="499" s="11" customFormat="1" ht="15.75" customHeight="1" x14ac:dyDescent="0.2"/>
    <row r="500" s="11" customFormat="1" ht="15.75" customHeight="1" x14ac:dyDescent="0.2"/>
    <row r="501" s="11" customFormat="1" ht="15.75" customHeight="1" x14ac:dyDescent="0.2"/>
    <row r="502" s="11" customFormat="1" ht="15.75" customHeight="1" x14ac:dyDescent="0.2"/>
    <row r="503" s="11" customFormat="1" ht="15.75" customHeight="1" x14ac:dyDescent="0.2"/>
    <row r="504" s="11" customFormat="1" ht="15.75" customHeight="1" x14ac:dyDescent="0.2"/>
    <row r="505" s="11" customFormat="1" ht="15.75" customHeight="1" x14ac:dyDescent="0.2"/>
    <row r="506" s="11" customFormat="1" ht="15.75" customHeight="1" x14ac:dyDescent="0.2"/>
    <row r="507" s="11" customFormat="1" ht="15.75" customHeight="1" x14ac:dyDescent="0.2"/>
    <row r="508" s="11" customFormat="1" ht="15.75" customHeight="1" x14ac:dyDescent="0.2"/>
    <row r="509" s="11" customFormat="1" ht="15.75" customHeight="1" x14ac:dyDescent="0.2"/>
    <row r="510" s="11" customFormat="1" ht="15.75" customHeight="1" x14ac:dyDescent="0.2"/>
    <row r="511" s="11" customFormat="1" ht="15.75" customHeight="1" x14ac:dyDescent="0.2"/>
    <row r="512" s="11" customFormat="1" ht="15.75" customHeight="1" x14ac:dyDescent="0.2"/>
    <row r="513" s="11" customFormat="1" ht="15.75" customHeight="1" x14ac:dyDescent="0.2"/>
    <row r="514" s="11" customFormat="1" ht="15.75" customHeight="1" x14ac:dyDescent="0.2"/>
    <row r="515" s="11" customFormat="1" ht="15.75" customHeight="1" x14ac:dyDescent="0.2"/>
    <row r="516" s="11" customFormat="1" ht="15.75" customHeight="1" x14ac:dyDescent="0.2"/>
    <row r="517" s="11" customFormat="1" ht="15.75" customHeight="1" x14ac:dyDescent="0.2"/>
    <row r="518" s="11" customFormat="1" ht="15.75" customHeight="1" x14ac:dyDescent="0.2"/>
    <row r="519" s="11" customFormat="1" ht="15.75" customHeight="1" x14ac:dyDescent="0.2"/>
    <row r="520" s="11" customFormat="1" ht="15.75" customHeight="1" x14ac:dyDescent="0.2"/>
    <row r="521" s="11" customFormat="1" ht="15.75" customHeight="1" x14ac:dyDescent="0.2"/>
    <row r="522" s="11" customFormat="1" ht="15.75" customHeight="1" x14ac:dyDescent="0.2"/>
    <row r="523" s="11" customFormat="1" ht="15.75" customHeight="1" x14ac:dyDescent="0.2"/>
    <row r="524" s="11" customFormat="1" ht="15.75" customHeight="1" x14ac:dyDescent="0.2"/>
    <row r="525" s="11" customFormat="1" ht="15.75" customHeight="1" x14ac:dyDescent="0.2"/>
    <row r="526" s="11" customFormat="1" ht="15.75" customHeight="1" x14ac:dyDescent="0.2"/>
    <row r="527" s="11" customFormat="1" ht="15.75" customHeight="1" x14ac:dyDescent="0.2"/>
    <row r="528" s="11" customFormat="1" ht="15.75" customHeight="1" x14ac:dyDescent="0.2"/>
    <row r="529" s="11" customFormat="1" ht="15.75" customHeight="1" x14ac:dyDescent="0.2"/>
    <row r="530" s="11" customFormat="1" ht="15.75" customHeight="1" x14ac:dyDescent="0.2"/>
    <row r="531" s="11" customFormat="1" ht="15.75" customHeight="1" x14ac:dyDescent="0.2"/>
    <row r="532" s="11" customFormat="1" ht="15.75" customHeight="1" x14ac:dyDescent="0.2"/>
    <row r="533" s="11" customFormat="1" ht="15.75" customHeight="1" x14ac:dyDescent="0.2"/>
    <row r="534" s="11" customFormat="1" ht="15.75" customHeight="1" x14ac:dyDescent="0.2"/>
    <row r="535" s="11" customFormat="1" ht="15.75" customHeight="1" x14ac:dyDescent="0.2"/>
    <row r="536" s="11" customFormat="1" ht="15.75" customHeight="1" x14ac:dyDescent="0.2"/>
    <row r="537" s="11" customFormat="1" ht="15.75" customHeight="1" x14ac:dyDescent="0.2"/>
    <row r="538" s="11" customFormat="1" ht="15.75" customHeight="1" x14ac:dyDescent="0.2"/>
    <row r="539" s="11" customFormat="1" ht="15.75" customHeight="1" x14ac:dyDescent="0.2"/>
    <row r="540" s="11" customFormat="1" ht="15.75" customHeight="1" x14ac:dyDescent="0.2"/>
    <row r="541" s="11" customFormat="1" ht="15.75" customHeight="1" x14ac:dyDescent="0.2"/>
    <row r="542" s="11" customFormat="1" ht="15.75" customHeight="1" x14ac:dyDescent="0.2"/>
    <row r="543" s="11" customFormat="1" ht="15.75" customHeight="1" x14ac:dyDescent="0.2"/>
    <row r="544" s="11" customFormat="1" ht="15.75" customHeight="1" x14ac:dyDescent="0.2"/>
    <row r="545" s="11" customFormat="1" ht="15.75" customHeight="1" x14ac:dyDescent="0.2"/>
    <row r="546" s="11" customFormat="1" ht="15.75" customHeight="1" x14ac:dyDescent="0.2"/>
    <row r="547" s="11" customFormat="1" ht="15.75" customHeight="1" x14ac:dyDescent="0.2"/>
    <row r="548" s="11" customFormat="1" ht="15.75" customHeight="1" x14ac:dyDescent="0.2"/>
    <row r="549" s="11" customFormat="1" ht="15.75" customHeight="1" x14ac:dyDescent="0.2"/>
    <row r="550" s="11" customFormat="1" ht="15.75" customHeight="1" x14ac:dyDescent="0.2"/>
    <row r="551" s="11" customFormat="1" ht="15.75" customHeight="1" x14ac:dyDescent="0.2"/>
    <row r="552" s="11" customFormat="1" ht="15.75" customHeight="1" x14ac:dyDescent="0.2"/>
    <row r="553" s="11" customFormat="1" ht="15.75" customHeight="1" x14ac:dyDescent="0.2"/>
    <row r="554" s="11" customFormat="1" ht="15.75" customHeight="1" x14ac:dyDescent="0.2"/>
    <row r="555" s="11" customFormat="1" ht="15.75" customHeight="1" x14ac:dyDescent="0.2"/>
    <row r="556" s="11" customFormat="1" ht="15.75" customHeight="1" x14ac:dyDescent="0.2"/>
    <row r="557" s="11" customFormat="1" ht="15.75" customHeight="1" x14ac:dyDescent="0.2"/>
    <row r="558" s="11" customFormat="1" ht="15.75" customHeight="1" x14ac:dyDescent="0.2"/>
    <row r="559" s="11" customFormat="1" ht="15.75" customHeight="1" x14ac:dyDescent="0.2"/>
    <row r="560" s="11" customFormat="1" ht="15.75" customHeight="1" x14ac:dyDescent="0.2"/>
    <row r="561" s="11" customFormat="1" ht="15.75" customHeight="1" x14ac:dyDescent="0.2"/>
    <row r="562" s="11" customFormat="1" ht="15.75" customHeight="1" x14ac:dyDescent="0.2"/>
    <row r="563" s="11" customFormat="1" ht="15.75" customHeight="1" x14ac:dyDescent="0.2"/>
    <row r="564" s="11" customFormat="1" ht="15.75" customHeight="1" x14ac:dyDescent="0.2"/>
    <row r="565" s="11" customFormat="1" ht="15.75" customHeight="1" x14ac:dyDescent="0.2"/>
    <row r="566" s="11" customFormat="1" ht="15.75" customHeight="1" x14ac:dyDescent="0.2"/>
    <row r="567" s="11" customFormat="1" ht="15.75" customHeight="1" x14ac:dyDescent="0.2"/>
    <row r="568" s="11" customFormat="1" ht="15.75" customHeight="1" x14ac:dyDescent="0.2"/>
    <row r="569" s="11" customFormat="1" ht="15.75" customHeight="1" x14ac:dyDescent="0.2"/>
    <row r="570" s="11" customFormat="1" ht="15.75" customHeight="1" x14ac:dyDescent="0.2"/>
    <row r="571" s="11" customFormat="1" ht="15.75" customHeight="1" x14ac:dyDescent="0.2"/>
    <row r="572" s="11" customFormat="1" ht="15.75" customHeight="1" x14ac:dyDescent="0.2"/>
    <row r="573" s="11" customFormat="1" ht="15.75" customHeight="1" x14ac:dyDescent="0.2"/>
    <row r="574" s="11" customFormat="1" ht="15.75" customHeight="1" x14ac:dyDescent="0.2"/>
    <row r="575" s="11" customFormat="1" ht="15.75" customHeight="1" x14ac:dyDescent="0.2"/>
    <row r="576" s="11" customFormat="1" ht="15.75" customHeight="1" x14ac:dyDescent="0.2"/>
    <row r="577" s="11" customFormat="1" ht="15.75" customHeight="1" x14ac:dyDescent="0.2"/>
    <row r="578" s="11" customFormat="1" ht="15.75" customHeight="1" x14ac:dyDescent="0.2"/>
    <row r="579" s="11" customFormat="1" ht="15.75" customHeight="1" x14ac:dyDescent="0.2"/>
    <row r="580" s="11" customFormat="1" ht="15.75" customHeight="1" x14ac:dyDescent="0.2"/>
    <row r="581" s="11" customFormat="1" ht="15.75" customHeight="1" x14ac:dyDescent="0.2"/>
    <row r="582" s="11" customFormat="1" ht="15.75" customHeight="1" x14ac:dyDescent="0.2"/>
    <row r="583" s="11" customFormat="1" ht="15.75" customHeight="1" x14ac:dyDescent="0.2"/>
    <row r="584" s="11" customFormat="1" ht="15.75" customHeight="1" x14ac:dyDescent="0.2"/>
    <row r="585" s="11" customFormat="1" ht="15.75" customHeight="1" x14ac:dyDescent="0.2"/>
    <row r="586" s="11" customFormat="1" ht="15.75" customHeight="1" x14ac:dyDescent="0.2"/>
    <row r="587" s="11" customFormat="1" ht="15.75" customHeight="1" x14ac:dyDescent="0.2"/>
    <row r="588" s="11" customFormat="1" ht="15.75" customHeight="1" x14ac:dyDescent="0.2"/>
    <row r="589" s="11" customFormat="1" ht="15.75" customHeight="1" x14ac:dyDescent="0.2"/>
    <row r="590" s="11" customFormat="1" ht="15.75" customHeight="1" x14ac:dyDescent="0.2"/>
    <row r="591" s="11" customFormat="1" ht="15.75" customHeight="1" x14ac:dyDescent="0.2"/>
    <row r="592" s="11" customFormat="1" ht="15.75" customHeight="1" x14ac:dyDescent="0.2"/>
    <row r="593" s="11" customFormat="1" ht="15.75" customHeight="1" x14ac:dyDescent="0.2"/>
    <row r="594" s="11" customFormat="1" ht="15.75" customHeight="1" x14ac:dyDescent="0.2"/>
    <row r="595" s="11" customFormat="1" ht="15.75" customHeight="1" x14ac:dyDescent="0.2"/>
    <row r="596" s="11" customFormat="1" ht="15.75" customHeight="1" x14ac:dyDescent="0.2"/>
    <row r="597" s="11" customFormat="1" ht="15.75" customHeight="1" x14ac:dyDescent="0.2"/>
    <row r="598" s="11" customFormat="1" ht="15.75" customHeight="1" x14ac:dyDescent="0.2"/>
    <row r="599" s="11" customFormat="1" ht="15.75" customHeight="1" x14ac:dyDescent="0.2"/>
    <row r="600" s="11" customFormat="1" ht="15.75" customHeight="1" x14ac:dyDescent="0.2"/>
    <row r="601" s="11" customFormat="1" ht="15.75" customHeight="1" x14ac:dyDescent="0.2"/>
    <row r="602" s="11" customFormat="1" ht="15.75" customHeight="1" x14ac:dyDescent="0.2"/>
    <row r="603" s="11" customFormat="1" ht="15.75" customHeight="1" x14ac:dyDescent="0.2"/>
    <row r="604" s="11" customFormat="1" ht="15.75" customHeight="1" x14ac:dyDescent="0.2"/>
    <row r="605" s="11" customFormat="1" ht="15.75" customHeight="1" x14ac:dyDescent="0.2"/>
    <row r="606" s="11" customFormat="1" ht="15.75" customHeight="1" x14ac:dyDescent="0.2"/>
    <row r="607" s="11" customFormat="1" ht="15.75" customHeight="1" x14ac:dyDescent="0.2"/>
    <row r="608" s="11" customFormat="1" ht="15.75" customHeight="1" x14ac:dyDescent="0.2"/>
    <row r="609" s="11" customFormat="1" ht="15.75" customHeight="1" x14ac:dyDescent="0.2"/>
    <row r="610" s="11" customFormat="1" ht="15.75" customHeight="1" x14ac:dyDescent="0.2"/>
    <row r="611" s="11" customFormat="1" ht="15.75" customHeight="1" x14ac:dyDescent="0.2"/>
    <row r="612" s="11" customFormat="1" ht="15.75" customHeight="1" x14ac:dyDescent="0.2"/>
    <row r="613" s="11" customFormat="1" ht="15.75" customHeight="1" x14ac:dyDescent="0.2"/>
    <row r="614" s="11" customFormat="1" ht="15.75" customHeight="1" x14ac:dyDescent="0.2"/>
    <row r="615" s="11" customFormat="1" ht="15.75" customHeight="1" x14ac:dyDescent="0.2"/>
    <row r="616" s="11" customFormat="1" ht="15.75" customHeight="1" x14ac:dyDescent="0.2"/>
    <row r="617" s="11" customFormat="1" ht="15.75" customHeight="1" x14ac:dyDescent="0.2"/>
    <row r="618" s="11" customFormat="1" ht="15.75" customHeight="1" x14ac:dyDescent="0.2"/>
    <row r="619" s="11" customFormat="1" ht="15.75" customHeight="1" x14ac:dyDescent="0.2"/>
    <row r="620" s="11" customFormat="1" ht="15.75" customHeight="1" x14ac:dyDescent="0.2"/>
    <row r="621" s="11" customFormat="1" ht="15.75" customHeight="1" x14ac:dyDescent="0.2"/>
    <row r="622" s="11" customFormat="1" ht="15.75" customHeight="1" x14ac:dyDescent="0.2"/>
    <row r="623" s="11" customFormat="1" ht="15.75" customHeight="1" x14ac:dyDescent="0.2"/>
    <row r="624" s="11" customFormat="1" ht="15.75" customHeight="1" x14ac:dyDescent="0.2"/>
    <row r="625" s="11" customFormat="1" ht="15.75" customHeight="1" x14ac:dyDescent="0.2"/>
    <row r="626" s="11" customFormat="1" ht="15.75" customHeight="1" x14ac:dyDescent="0.2"/>
    <row r="627" s="11" customFormat="1" ht="15.75" customHeight="1" x14ac:dyDescent="0.2"/>
    <row r="628" s="11" customFormat="1" ht="15.75" customHeight="1" x14ac:dyDescent="0.2"/>
    <row r="629" s="11" customFormat="1" ht="15.75" customHeight="1" x14ac:dyDescent="0.2"/>
    <row r="630" s="11" customFormat="1" ht="15.75" customHeight="1" x14ac:dyDescent="0.2"/>
    <row r="631" s="11" customFormat="1" ht="15.75" customHeight="1" x14ac:dyDescent="0.2"/>
    <row r="632" s="11" customFormat="1" ht="15.75" customHeight="1" x14ac:dyDescent="0.2"/>
    <row r="633" s="11" customFormat="1" ht="15.75" customHeight="1" x14ac:dyDescent="0.2"/>
    <row r="634" s="11" customFormat="1" ht="15.75" customHeight="1" x14ac:dyDescent="0.2"/>
    <row r="635" s="11" customFormat="1" ht="15.75" customHeight="1" x14ac:dyDescent="0.2"/>
    <row r="636" s="11" customFormat="1" ht="15.75" customHeight="1" x14ac:dyDescent="0.2"/>
    <row r="637" s="11" customFormat="1" ht="15.75" customHeight="1" x14ac:dyDescent="0.2"/>
    <row r="638" s="11" customFormat="1" ht="15.75" customHeight="1" x14ac:dyDescent="0.2"/>
    <row r="639" s="11" customFormat="1" ht="15.75" customHeight="1" x14ac:dyDescent="0.2"/>
    <row r="640" s="11" customFormat="1" ht="15.75" customHeight="1" x14ac:dyDescent="0.2"/>
    <row r="641" s="11" customFormat="1" ht="15.75" customHeight="1" x14ac:dyDescent="0.2"/>
    <row r="642" s="11" customFormat="1" ht="15.75" customHeight="1" x14ac:dyDescent="0.2"/>
    <row r="643" s="11" customFormat="1" ht="15.75" customHeight="1" x14ac:dyDescent="0.2"/>
    <row r="644" s="11" customFormat="1" ht="15.75" customHeight="1" x14ac:dyDescent="0.2"/>
    <row r="645" s="11" customFormat="1" ht="15.75" customHeight="1" x14ac:dyDescent="0.2"/>
    <row r="646" s="11" customFormat="1" ht="15.75" customHeight="1" x14ac:dyDescent="0.2"/>
    <row r="647" s="11" customFormat="1" ht="15.75" customHeight="1" x14ac:dyDescent="0.2"/>
    <row r="648" s="11" customFormat="1" ht="15.75" customHeight="1" x14ac:dyDescent="0.2"/>
    <row r="649" s="11" customFormat="1" ht="15.75" customHeight="1" x14ac:dyDescent="0.2"/>
    <row r="650" s="11" customFormat="1" ht="15.75" customHeight="1" x14ac:dyDescent="0.2"/>
    <row r="651" s="11" customFormat="1" ht="15.75" customHeight="1" x14ac:dyDescent="0.2"/>
    <row r="652" s="11" customFormat="1" ht="15.75" customHeight="1" x14ac:dyDescent="0.2"/>
    <row r="653" s="11" customFormat="1" ht="15.75" customHeight="1" x14ac:dyDescent="0.2"/>
    <row r="654" s="11" customFormat="1" ht="15.75" customHeight="1" x14ac:dyDescent="0.2"/>
    <row r="655" s="11" customFormat="1" ht="15.75" customHeight="1" x14ac:dyDescent="0.2"/>
    <row r="656" s="11" customFormat="1" ht="15.75" customHeight="1" x14ac:dyDescent="0.2"/>
    <row r="657" s="11" customFormat="1" ht="15.75" customHeight="1" x14ac:dyDescent="0.2"/>
    <row r="658" s="11" customFormat="1" ht="15.75" customHeight="1" x14ac:dyDescent="0.2"/>
    <row r="659" s="11" customFormat="1" ht="15.75" customHeight="1" x14ac:dyDescent="0.2"/>
    <row r="660" s="11" customFormat="1" ht="15.75" customHeight="1" x14ac:dyDescent="0.2"/>
    <row r="661" s="11" customFormat="1" ht="15.75" customHeight="1" x14ac:dyDescent="0.2"/>
    <row r="662" s="11" customFormat="1" ht="15.75" customHeight="1" x14ac:dyDescent="0.2"/>
    <row r="663" s="11" customFormat="1" ht="15.75" customHeight="1" x14ac:dyDescent="0.2"/>
    <row r="664" s="11" customFormat="1" ht="15.75" customHeight="1" x14ac:dyDescent="0.2"/>
    <row r="665" s="11" customFormat="1" ht="15.75" customHeight="1" x14ac:dyDescent="0.2"/>
    <row r="666" s="11" customFormat="1" ht="15.75" customHeight="1" x14ac:dyDescent="0.2"/>
    <row r="667" s="11" customFormat="1" ht="15.75" customHeight="1" x14ac:dyDescent="0.2"/>
    <row r="668" s="11" customFormat="1" ht="15.75" customHeight="1" x14ac:dyDescent="0.2"/>
    <row r="669" s="11" customFormat="1" ht="15.75" customHeight="1" x14ac:dyDescent="0.2"/>
    <row r="670" s="11" customFormat="1" ht="15.75" customHeight="1" x14ac:dyDescent="0.2"/>
    <row r="671" s="11" customFormat="1" ht="15.75" customHeight="1" x14ac:dyDescent="0.2"/>
    <row r="672" s="11" customFormat="1" ht="15.75" customHeight="1" x14ac:dyDescent="0.2"/>
    <row r="673" s="11" customFormat="1" ht="15.75" customHeight="1" x14ac:dyDescent="0.2"/>
    <row r="674" s="11" customFormat="1" ht="15.75" customHeight="1" x14ac:dyDescent="0.2"/>
    <row r="675" s="11" customFormat="1" ht="15.75" customHeight="1" x14ac:dyDescent="0.2"/>
    <row r="676" s="11" customFormat="1" ht="15.75" customHeight="1" x14ac:dyDescent="0.2"/>
    <row r="677" s="11" customFormat="1" ht="15.75" customHeight="1" x14ac:dyDescent="0.2"/>
    <row r="678" s="11" customFormat="1" ht="15.75" customHeight="1" x14ac:dyDescent="0.2"/>
    <row r="679" s="11" customFormat="1" ht="15.75" customHeight="1" x14ac:dyDescent="0.2"/>
    <row r="680" s="11" customFormat="1" ht="15.75" customHeight="1" x14ac:dyDescent="0.2"/>
    <row r="681" s="11" customFormat="1" ht="15.75" customHeight="1" x14ac:dyDescent="0.2"/>
    <row r="682" s="11" customFormat="1" ht="15.75" customHeight="1" x14ac:dyDescent="0.2"/>
    <row r="683" s="11" customFormat="1" ht="15.75" customHeight="1" x14ac:dyDescent="0.2"/>
    <row r="684" s="11" customFormat="1" ht="15.75" customHeight="1" x14ac:dyDescent="0.2"/>
    <row r="685" s="11" customFormat="1" ht="15.75" customHeight="1" x14ac:dyDescent="0.2"/>
    <row r="686" s="11" customFormat="1" ht="15.75" customHeight="1" x14ac:dyDescent="0.2"/>
    <row r="687" s="11" customFormat="1" ht="15.75" customHeight="1" x14ac:dyDescent="0.2"/>
    <row r="688" s="11" customFormat="1" ht="15.75" customHeight="1" x14ac:dyDescent="0.2"/>
    <row r="689" s="11" customFormat="1" ht="15.75" customHeight="1" x14ac:dyDescent="0.2"/>
    <row r="690" s="11" customFormat="1" ht="15.75" customHeight="1" x14ac:dyDescent="0.2"/>
    <row r="691" s="11" customFormat="1" ht="15.75" customHeight="1" x14ac:dyDescent="0.2"/>
    <row r="692" s="11" customFormat="1" ht="15.75" customHeight="1" x14ac:dyDescent="0.2"/>
    <row r="693" s="11" customFormat="1" ht="15.75" customHeight="1" x14ac:dyDescent="0.2"/>
    <row r="694" s="11" customFormat="1" ht="15.75" customHeight="1" x14ac:dyDescent="0.2"/>
    <row r="695" s="11" customFormat="1" ht="15.75" customHeight="1" x14ac:dyDescent="0.2"/>
    <row r="696" s="11" customFormat="1" ht="15.75" customHeight="1" x14ac:dyDescent="0.2"/>
    <row r="697" s="11" customFormat="1" ht="15.75" customHeight="1" x14ac:dyDescent="0.2"/>
    <row r="698" s="11" customFormat="1" ht="15.75" customHeight="1" x14ac:dyDescent="0.2"/>
    <row r="699" s="11" customFormat="1" ht="15.75" customHeight="1" x14ac:dyDescent="0.2"/>
    <row r="700" s="11" customFormat="1" ht="15.75" customHeight="1" x14ac:dyDescent="0.2"/>
    <row r="701" s="11" customFormat="1" ht="15.75" customHeight="1" x14ac:dyDescent="0.2"/>
    <row r="702" s="11" customFormat="1" ht="15.75" customHeight="1" x14ac:dyDescent="0.2"/>
    <row r="703" s="11" customFormat="1" ht="15.75" customHeight="1" x14ac:dyDescent="0.2"/>
    <row r="704" s="11" customFormat="1" ht="15.75" customHeight="1" x14ac:dyDescent="0.2"/>
    <row r="705" s="11" customFormat="1" ht="15.75" customHeight="1" x14ac:dyDescent="0.2"/>
    <row r="706" s="11" customFormat="1" ht="15.75" customHeight="1" x14ac:dyDescent="0.2"/>
    <row r="707" s="11" customFormat="1" ht="15.75" customHeight="1" x14ac:dyDescent="0.2"/>
    <row r="708" s="11" customFormat="1" ht="15.75" customHeight="1" x14ac:dyDescent="0.2"/>
    <row r="709" s="11" customFormat="1" ht="15.75" customHeight="1" x14ac:dyDescent="0.2"/>
    <row r="710" s="11" customFormat="1" ht="15.75" customHeight="1" x14ac:dyDescent="0.2"/>
    <row r="711" s="11" customFormat="1" ht="15.75" customHeight="1" x14ac:dyDescent="0.2"/>
    <row r="712" s="11" customFormat="1" ht="15.75" customHeight="1" x14ac:dyDescent="0.2"/>
    <row r="713" s="11" customFormat="1" ht="15.75" customHeight="1" x14ac:dyDescent="0.2"/>
    <row r="714" s="11" customFormat="1" ht="15.75" customHeight="1" x14ac:dyDescent="0.2"/>
    <row r="715" s="11" customFormat="1" ht="15.75" customHeight="1" x14ac:dyDescent="0.2"/>
    <row r="716" s="11" customFormat="1" ht="15.75" customHeight="1" x14ac:dyDescent="0.2"/>
    <row r="717" s="11" customFormat="1" ht="15.75" customHeight="1" x14ac:dyDescent="0.2"/>
    <row r="718" s="11" customFormat="1" ht="15.75" customHeight="1" x14ac:dyDescent="0.2"/>
    <row r="719" s="11" customFormat="1" ht="15.75" customHeight="1" x14ac:dyDescent="0.2"/>
    <row r="720" s="11" customFormat="1" ht="15.75" customHeight="1" x14ac:dyDescent="0.2"/>
    <row r="721" s="11" customFormat="1" ht="15.75" customHeight="1" x14ac:dyDescent="0.2"/>
    <row r="722" s="11" customFormat="1" ht="15.75" customHeight="1" x14ac:dyDescent="0.2"/>
    <row r="723" s="11" customFormat="1" ht="15.75" customHeight="1" x14ac:dyDescent="0.2"/>
    <row r="724" s="11" customFormat="1" ht="15.75" customHeight="1" x14ac:dyDescent="0.2"/>
    <row r="725" s="11" customFormat="1" ht="15.75" customHeight="1" x14ac:dyDescent="0.2"/>
    <row r="726" s="11" customFormat="1" ht="15.75" customHeight="1" x14ac:dyDescent="0.2"/>
    <row r="727" s="11" customFormat="1" ht="15.75" customHeight="1" x14ac:dyDescent="0.2"/>
    <row r="728" s="11" customFormat="1" ht="15.75" customHeight="1" x14ac:dyDescent="0.2"/>
    <row r="729" s="11" customFormat="1" ht="15.75" customHeight="1" x14ac:dyDescent="0.2"/>
    <row r="730" s="11" customFormat="1" ht="15.75" customHeight="1" x14ac:dyDescent="0.2"/>
    <row r="731" s="11" customFormat="1" ht="15.75" customHeight="1" x14ac:dyDescent="0.2"/>
    <row r="732" s="11" customFormat="1" ht="15.75" customHeight="1" x14ac:dyDescent="0.2"/>
    <row r="733" s="11" customFormat="1" ht="15.75" customHeight="1" x14ac:dyDescent="0.2"/>
    <row r="734" s="11" customFormat="1" ht="15.75" customHeight="1" x14ac:dyDescent="0.2"/>
    <row r="735" s="11" customFormat="1" ht="15.75" customHeight="1" x14ac:dyDescent="0.2"/>
    <row r="736" s="11" customFormat="1" ht="15.75" customHeight="1" x14ac:dyDescent="0.2"/>
    <row r="737" s="11" customFormat="1" ht="15.75" customHeight="1" x14ac:dyDescent="0.2"/>
    <row r="738" s="11" customFormat="1" ht="15.75" customHeight="1" x14ac:dyDescent="0.2"/>
    <row r="739" s="11" customFormat="1" ht="15.75" customHeight="1" x14ac:dyDescent="0.2"/>
    <row r="740" s="11" customFormat="1" ht="15.75" customHeight="1" x14ac:dyDescent="0.2"/>
    <row r="741" s="11" customFormat="1" ht="15.75" customHeight="1" x14ac:dyDescent="0.2"/>
    <row r="742" s="11" customFormat="1" ht="15.75" customHeight="1" x14ac:dyDescent="0.2"/>
    <row r="743" s="11" customFormat="1" ht="15.75" customHeight="1" x14ac:dyDescent="0.2"/>
    <row r="744" s="11" customFormat="1" ht="15.75" customHeight="1" x14ac:dyDescent="0.2"/>
    <row r="745" s="11" customFormat="1" ht="15.75" customHeight="1" x14ac:dyDescent="0.2"/>
    <row r="746" s="11" customFormat="1" ht="15.75" customHeight="1" x14ac:dyDescent="0.2"/>
    <row r="747" s="11" customFormat="1" ht="15.75" customHeight="1" x14ac:dyDescent="0.2"/>
    <row r="748" s="11" customFormat="1" ht="15.75" customHeight="1" x14ac:dyDescent="0.2"/>
    <row r="749" s="11" customFormat="1" ht="15.75" customHeight="1" x14ac:dyDescent="0.2"/>
    <row r="750" s="11" customFormat="1" ht="15.75" customHeight="1" x14ac:dyDescent="0.2"/>
    <row r="751" s="11" customFormat="1" ht="15.75" customHeight="1" x14ac:dyDescent="0.2"/>
    <row r="752" s="11" customFormat="1" ht="15.75" customHeight="1" x14ac:dyDescent="0.2"/>
    <row r="753" s="11" customFormat="1" ht="15.75" customHeight="1" x14ac:dyDescent="0.2"/>
    <row r="754" s="11" customFormat="1" ht="15.75" customHeight="1" x14ac:dyDescent="0.2"/>
    <row r="755" s="11" customFormat="1" ht="15.75" customHeight="1" x14ac:dyDescent="0.2"/>
    <row r="756" s="11" customFormat="1" ht="15.75" customHeight="1" x14ac:dyDescent="0.2"/>
    <row r="757" s="11" customFormat="1" ht="15.75" customHeight="1" x14ac:dyDescent="0.2"/>
    <row r="758" s="11" customFormat="1" ht="15.75" customHeight="1" x14ac:dyDescent="0.2"/>
    <row r="759" s="11" customFormat="1" ht="15.75" customHeight="1" x14ac:dyDescent="0.2"/>
    <row r="760" s="11" customFormat="1" ht="15.75" customHeight="1" x14ac:dyDescent="0.2"/>
    <row r="761" s="11" customFormat="1" ht="15.75" customHeight="1" x14ac:dyDescent="0.2"/>
    <row r="762" s="11" customFormat="1" ht="15.75" customHeight="1" x14ac:dyDescent="0.2"/>
    <row r="763" s="11" customFormat="1" ht="15.75" customHeight="1" x14ac:dyDescent="0.2"/>
    <row r="764" s="11" customFormat="1" ht="15.75" customHeight="1" x14ac:dyDescent="0.2"/>
    <row r="765" s="11" customFormat="1" ht="15.75" customHeight="1" x14ac:dyDescent="0.2"/>
    <row r="766" s="11" customFormat="1" ht="15.75" customHeight="1" x14ac:dyDescent="0.2"/>
    <row r="767" s="11" customFormat="1" ht="15.75" customHeight="1" x14ac:dyDescent="0.2"/>
    <row r="768" s="11" customFormat="1" ht="15.75" customHeight="1" x14ac:dyDescent="0.2"/>
    <row r="769" s="11" customFormat="1" ht="15.75" customHeight="1" x14ac:dyDescent="0.2"/>
    <row r="770" s="11" customFormat="1" ht="15.75" customHeight="1" x14ac:dyDescent="0.2"/>
    <row r="771" s="11" customFormat="1" ht="15.75" customHeight="1" x14ac:dyDescent="0.2"/>
    <row r="772" s="11" customFormat="1" ht="15.75" customHeight="1" x14ac:dyDescent="0.2"/>
    <row r="773" s="11" customFormat="1" ht="15.75" customHeight="1" x14ac:dyDescent="0.2"/>
    <row r="774" s="11" customFormat="1" ht="15.75" customHeight="1" x14ac:dyDescent="0.2"/>
    <row r="775" s="11" customFormat="1" ht="15.75" customHeight="1" x14ac:dyDescent="0.2"/>
    <row r="776" s="11" customFormat="1" ht="15.75" customHeight="1" x14ac:dyDescent="0.2"/>
    <row r="777" s="11" customFormat="1" ht="15.75" customHeight="1" x14ac:dyDescent="0.2"/>
    <row r="778" s="11" customFormat="1" ht="15.75" customHeight="1" x14ac:dyDescent="0.2"/>
    <row r="779" s="11" customFormat="1" ht="15.75" customHeight="1" x14ac:dyDescent="0.2"/>
    <row r="780" s="11" customFormat="1" ht="15.75" customHeight="1" x14ac:dyDescent="0.2"/>
    <row r="781" s="11" customFormat="1" ht="15.75" customHeight="1" x14ac:dyDescent="0.2"/>
    <row r="782" s="11" customFormat="1" ht="15.75" customHeight="1" x14ac:dyDescent="0.2"/>
    <row r="783" s="11" customFormat="1" ht="15.75" customHeight="1" x14ac:dyDescent="0.2"/>
    <row r="784" s="11" customFormat="1" ht="15.75" customHeight="1" x14ac:dyDescent="0.2"/>
    <row r="785" s="11" customFormat="1" ht="15.75" customHeight="1" x14ac:dyDescent="0.2"/>
    <row r="786" s="11" customFormat="1" ht="15.75" customHeight="1" x14ac:dyDescent="0.2"/>
    <row r="787" s="11" customFormat="1" ht="15.75" customHeight="1" x14ac:dyDescent="0.2"/>
    <row r="788" s="11" customFormat="1" ht="15.75" customHeight="1" x14ac:dyDescent="0.2"/>
    <row r="789" s="11" customFormat="1" ht="15.75" customHeight="1" x14ac:dyDescent="0.2"/>
    <row r="790" s="11" customFormat="1" ht="15.75" customHeight="1" x14ac:dyDescent="0.2"/>
    <row r="791" s="11" customFormat="1" ht="15.75" customHeight="1" x14ac:dyDescent="0.2"/>
    <row r="792" s="11" customFormat="1" ht="15.75" customHeight="1" x14ac:dyDescent="0.2"/>
    <row r="793" s="11" customFormat="1" ht="15.75" customHeight="1" x14ac:dyDescent="0.2"/>
    <row r="794" s="11" customFormat="1" ht="15.75" customHeight="1" x14ac:dyDescent="0.2"/>
    <row r="795" s="11" customFormat="1" ht="15.75" customHeight="1" x14ac:dyDescent="0.2"/>
    <row r="796" s="11" customFormat="1" ht="15.75" customHeight="1" x14ac:dyDescent="0.2"/>
    <row r="797" s="11" customFormat="1" ht="15.75" customHeight="1" x14ac:dyDescent="0.2"/>
    <row r="798" s="11" customFormat="1" ht="15.75" customHeight="1" x14ac:dyDescent="0.2"/>
    <row r="799" s="11" customFormat="1" ht="15.75" customHeight="1" x14ac:dyDescent="0.2"/>
    <row r="800" s="11" customFormat="1" ht="15.75" customHeight="1" x14ac:dyDescent="0.2"/>
    <row r="801" s="11" customFormat="1" ht="15.75" customHeight="1" x14ac:dyDescent="0.2"/>
    <row r="802" s="11" customFormat="1" ht="15.75" customHeight="1" x14ac:dyDescent="0.2"/>
    <row r="803" s="11" customFormat="1" ht="15.75" customHeight="1" x14ac:dyDescent="0.2"/>
    <row r="804" s="11" customFormat="1" ht="15.75" customHeight="1" x14ac:dyDescent="0.2"/>
    <row r="805" s="11" customFormat="1" ht="15.75" customHeight="1" x14ac:dyDescent="0.2"/>
    <row r="806" s="11" customFormat="1" ht="15.75" customHeight="1" x14ac:dyDescent="0.2"/>
    <row r="807" s="11" customFormat="1" ht="15.75" customHeight="1" x14ac:dyDescent="0.2"/>
    <row r="808" s="11" customFormat="1" ht="15.75" customHeight="1" x14ac:dyDescent="0.2"/>
    <row r="809" s="11" customFormat="1" ht="15.75" customHeight="1" x14ac:dyDescent="0.2"/>
    <row r="810" s="11" customFormat="1" ht="15.75" customHeight="1" x14ac:dyDescent="0.2"/>
    <row r="811" s="11" customFormat="1" ht="15.75" customHeight="1" x14ac:dyDescent="0.2"/>
    <row r="812" s="11" customFormat="1" ht="15.75" customHeight="1" x14ac:dyDescent="0.2"/>
    <row r="813" s="11" customFormat="1" ht="15.75" customHeight="1" x14ac:dyDescent="0.2"/>
    <row r="814" s="11" customFormat="1" ht="15.75" customHeight="1" x14ac:dyDescent="0.2"/>
    <row r="815" s="11" customFormat="1" ht="15.75" customHeight="1" x14ac:dyDescent="0.2"/>
    <row r="816" s="11" customFormat="1" ht="15.75" customHeight="1" x14ac:dyDescent="0.2"/>
    <row r="817" s="11" customFormat="1" ht="15.75" customHeight="1" x14ac:dyDescent="0.2"/>
    <row r="818" s="11" customFormat="1" ht="15.75" customHeight="1" x14ac:dyDescent="0.2"/>
    <row r="819" s="11" customFormat="1" ht="15.75" customHeight="1" x14ac:dyDescent="0.2"/>
    <row r="820" s="11" customFormat="1" ht="15.75" customHeight="1" x14ac:dyDescent="0.2"/>
    <row r="821" s="11" customFormat="1" ht="15.75" customHeight="1" x14ac:dyDescent="0.2"/>
    <row r="822" s="11" customFormat="1" ht="15.75" customHeight="1" x14ac:dyDescent="0.2"/>
    <row r="823" s="11" customFormat="1" ht="15.75" customHeight="1" x14ac:dyDescent="0.2"/>
    <row r="824" s="11" customFormat="1" ht="15.75" customHeight="1" x14ac:dyDescent="0.2"/>
    <row r="825" s="11" customFormat="1" ht="15.75" customHeight="1" x14ac:dyDescent="0.2"/>
    <row r="826" s="11" customFormat="1" ht="15.75" customHeight="1" x14ac:dyDescent="0.2"/>
    <row r="827" s="11" customFormat="1" ht="15.75" customHeight="1" x14ac:dyDescent="0.2"/>
    <row r="828" s="11" customFormat="1" ht="15.75" customHeight="1" x14ac:dyDescent="0.2"/>
    <row r="829" s="11" customFormat="1" ht="15.75" customHeight="1" x14ac:dyDescent="0.2"/>
    <row r="830" s="11" customFormat="1" ht="15.75" customHeight="1" x14ac:dyDescent="0.2"/>
    <row r="831" s="11" customFormat="1" ht="15.75" customHeight="1" x14ac:dyDescent="0.2"/>
    <row r="832" s="11" customFormat="1" ht="15.75" customHeight="1" x14ac:dyDescent="0.2"/>
    <row r="833" s="11" customFormat="1" ht="15.75" customHeight="1" x14ac:dyDescent="0.2"/>
    <row r="834" s="11" customFormat="1" ht="15.75" customHeight="1" x14ac:dyDescent="0.2"/>
    <row r="835" s="11" customFormat="1" ht="15.75" customHeight="1" x14ac:dyDescent="0.2"/>
    <row r="836" s="11" customFormat="1" ht="15.75" customHeight="1" x14ac:dyDescent="0.2"/>
    <row r="837" s="11" customFormat="1" ht="15.75" customHeight="1" x14ac:dyDescent="0.2"/>
    <row r="838" s="11" customFormat="1" ht="15.75" customHeight="1" x14ac:dyDescent="0.2"/>
    <row r="839" s="11" customFormat="1" ht="15.75" customHeight="1" x14ac:dyDescent="0.2"/>
    <row r="840" s="11" customFormat="1" ht="15.75" customHeight="1" x14ac:dyDescent="0.2"/>
    <row r="841" s="11" customFormat="1" ht="15.75" customHeight="1" x14ac:dyDescent="0.2"/>
    <row r="842" s="11" customFormat="1" ht="15.75" customHeight="1" x14ac:dyDescent="0.2"/>
    <row r="843" s="11" customFormat="1" ht="15.75" customHeight="1" x14ac:dyDescent="0.2"/>
    <row r="844" s="11" customFormat="1" ht="15.75" customHeight="1" x14ac:dyDescent="0.2"/>
    <row r="845" s="11" customFormat="1" ht="15.75" customHeight="1" x14ac:dyDescent="0.2"/>
    <row r="846" s="11" customFormat="1" ht="15.75" customHeight="1" x14ac:dyDescent="0.2"/>
    <row r="847" s="11" customFormat="1" ht="15.75" customHeight="1" x14ac:dyDescent="0.2"/>
    <row r="848" s="11" customFormat="1" ht="15.75" customHeight="1" x14ac:dyDescent="0.2"/>
    <row r="849" s="11" customFormat="1" ht="15.75" customHeight="1" x14ac:dyDescent="0.2"/>
    <row r="850" s="11" customFormat="1" ht="15.75" customHeight="1" x14ac:dyDescent="0.2"/>
    <row r="851" s="11" customFormat="1" ht="15.75" customHeight="1" x14ac:dyDescent="0.2"/>
    <row r="852" s="11" customFormat="1" ht="15.75" customHeight="1" x14ac:dyDescent="0.2"/>
    <row r="853" s="11" customFormat="1" ht="15.75" customHeight="1" x14ac:dyDescent="0.2"/>
    <row r="854" s="11" customFormat="1" ht="15.75" customHeight="1" x14ac:dyDescent="0.2"/>
    <row r="855" s="11" customFormat="1" ht="15.75" customHeight="1" x14ac:dyDescent="0.2"/>
    <row r="856" s="11" customFormat="1" ht="15.75" customHeight="1" x14ac:dyDescent="0.2"/>
    <row r="857" s="11" customFormat="1" ht="15.75" customHeight="1" x14ac:dyDescent="0.2"/>
    <row r="858" s="11" customFormat="1" ht="15.75" customHeight="1" x14ac:dyDescent="0.2"/>
    <row r="859" s="11" customFormat="1" ht="15.75" customHeight="1" x14ac:dyDescent="0.2"/>
    <row r="860" s="11" customFormat="1" ht="15.75" customHeight="1" x14ac:dyDescent="0.2"/>
    <row r="861" s="11" customFormat="1" ht="15.75" customHeight="1" x14ac:dyDescent="0.2"/>
    <row r="862" s="11" customFormat="1" ht="15.75" customHeight="1" x14ac:dyDescent="0.2"/>
    <row r="863" s="11" customFormat="1" ht="15.75" customHeight="1" x14ac:dyDescent="0.2"/>
    <row r="864" s="11" customFormat="1" ht="15.75" customHeight="1" x14ac:dyDescent="0.2"/>
    <row r="865" s="11" customFormat="1" ht="15.75" customHeight="1" x14ac:dyDescent="0.2"/>
    <row r="866" s="11" customFormat="1" ht="15.75" customHeight="1" x14ac:dyDescent="0.2"/>
    <row r="867" s="11" customFormat="1" ht="15.75" customHeight="1" x14ac:dyDescent="0.2"/>
    <row r="868" s="11" customFormat="1" ht="15.75" customHeight="1" x14ac:dyDescent="0.2"/>
    <row r="869" s="11" customFormat="1" ht="15.75" customHeight="1" x14ac:dyDescent="0.2"/>
    <row r="870" s="11" customFormat="1" ht="15.75" customHeight="1" x14ac:dyDescent="0.2"/>
    <row r="871" s="11" customFormat="1" ht="15.75" customHeight="1" x14ac:dyDescent="0.2"/>
    <row r="872" s="11" customFormat="1" ht="15.75" customHeight="1" x14ac:dyDescent="0.2"/>
    <row r="873" s="11" customFormat="1" ht="15.75" customHeight="1" x14ac:dyDescent="0.2"/>
    <row r="874" s="11" customFormat="1" ht="15.75" customHeight="1" x14ac:dyDescent="0.2"/>
    <row r="875" s="11" customFormat="1" ht="15.75" customHeight="1" x14ac:dyDescent="0.2"/>
    <row r="876" s="11" customFormat="1" ht="15.75" customHeight="1" x14ac:dyDescent="0.2"/>
    <row r="877" s="11" customFormat="1" ht="15.75" customHeight="1" x14ac:dyDescent="0.2"/>
    <row r="878" s="11" customFormat="1" ht="15.75" customHeight="1" x14ac:dyDescent="0.2"/>
    <row r="879" s="11" customFormat="1" ht="15.75" customHeight="1" x14ac:dyDescent="0.2"/>
    <row r="880" s="11" customFormat="1" ht="15.75" customHeight="1" x14ac:dyDescent="0.2"/>
    <row r="881" s="11" customFormat="1" ht="15.75" customHeight="1" x14ac:dyDescent="0.2"/>
    <row r="882" s="11" customFormat="1" ht="15.75" customHeight="1" x14ac:dyDescent="0.2"/>
    <row r="883" s="11" customFormat="1" ht="15.75" customHeight="1" x14ac:dyDescent="0.2"/>
    <row r="884" s="11" customFormat="1" ht="15.75" customHeight="1" x14ac:dyDescent="0.2"/>
    <row r="885" s="11" customFormat="1" ht="15.75" customHeight="1" x14ac:dyDescent="0.2"/>
    <row r="886" s="11" customFormat="1" ht="15.75" customHeight="1" x14ac:dyDescent="0.2"/>
    <row r="887" s="11" customFormat="1" ht="15.75" customHeight="1" x14ac:dyDescent="0.2"/>
    <row r="888" s="11" customFormat="1" ht="15.75" customHeight="1" x14ac:dyDescent="0.2"/>
    <row r="889" s="11" customFormat="1" ht="15.75" customHeight="1" x14ac:dyDescent="0.2"/>
    <row r="890" s="11" customFormat="1" ht="15.75" customHeight="1" x14ac:dyDescent="0.2"/>
    <row r="891" s="11" customFormat="1" ht="15.75" customHeight="1" x14ac:dyDescent="0.2"/>
    <row r="892" s="11" customFormat="1" ht="15.75" customHeight="1" x14ac:dyDescent="0.2"/>
    <row r="893" s="11" customFormat="1" ht="15.75" customHeight="1" x14ac:dyDescent="0.2"/>
    <row r="894" s="11" customFormat="1" ht="15.75" customHeight="1" x14ac:dyDescent="0.2"/>
    <row r="895" s="11" customFormat="1" ht="15.75" customHeight="1" x14ac:dyDescent="0.2"/>
    <row r="896" s="11" customFormat="1" ht="15.75" customHeight="1" x14ac:dyDescent="0.2"/>
    <row r="897" s="11" customFormat="1" ht="15.75" customHeight="1" x14ac:dyDescent="0.2"/>
    <row r="898" s="11" customFormat="1" ht="15.75" customHeight="1" x14ac:dyDescent="0.2"/>
    <row r="899" s="11" customFormat="1" ht="15.75" customHeight="1" x14ac:dyDescent="0.2"/>
    <row r="900" s="11" customFormat="1" ht="15.75" customHeight="1" x14ac:dyDescent="0.2"/>
    <row r="901" s="11" customFormat="1" ht="15.75" customHeight="1" x14ac:dyDescent="0.2"/>
    <row r="902" s="11" customFormat="1" ht="15.75" customHeight="1" x14ac:dyDescent="0.2"/>
    <row r="903" s="11" customFormat="1" ht="15.75" customHeight="1" x14ac:dyDescent="0.2"/>
    <row r="904" s="11" customFormat="1" ht="15.75" customHeight="1" x14ac:dyDescent="0.2"/>
    <row r="905" s="11" customFormat="1" ht="15.75" customHeight="1" x14ac:dyDescent="0.2"/>
    <row r="906" s="11" customFormat="1" ht="15.75" customHeight="1" x14ac:dyDescent="0.2"/>
    <row r="907" s="11" customFormat="1" ht="15.75" customHeight="1" x14ac:dyDescent="0.2"/>
    <row r="908" s="11" customFormat="1" ht="15.75" customHeight="1" x14ac:dyDescent="0.2"/>
    <row r="909" s="11" customFormat="1" ht="15.75" customHeight="1" x14ac:dyDescent="0.2"/>
    <row r="910" s="11" customFormat="1" ht="15.75" customHeight="1" x14ac:dyDescent="0.2"/>
    <row r="911" s="11" customFormat="1" ht="15.75" customHeight="1" x14ac:dyDescent="0.2"/>
    <row r="912" s="11" customFormat="1" ht="15.75" customHeight="1" x14ac:dyDescent="0.2"/>
    <row r="913" s="11" customFormat="1" ht="15.75" customHeight="1" x14ac:dyDescent="0.2"/>
    <row r="914" s="11" customFormat="1" ht="15.75" customHeight="1" x14ac:dyDescent="0.2"/>
    <row r="915" s="11" customFormat="1" ht="15.75" customHeight="1" x14ac:dyDescent="0.2"/>
    <row r="916" s="11" customFormat="1" ht="15.75" customHeight="1" x14ac:dyDescent="0.2"/>
    <row r="917" s="11" customFormat="1" ht="15.75" customHeight="1" x14ac:dyDescent="0.2"/>
    <row r="918" s="11" customFormat="1" ht="15.75" customHeight="1" x14ac:dyDescent="0.2"/>
    <row r="919" s="11" customFormat="1" ht="15.75" customHeight="1" x14ac:dyDescent="0.2"/>
    <row r="920" s="11" customFormat="1" ht="15.75" customHeight="1" x14ac:dyDescent="0.2"/>
    <row r="921" s="11" customFormat="1" ht="15.75" customHeight="1" x14ac:dyDescent="0.2"/>
    <row r="922" s="11" customFormat="1" ht="15.75" customHeight="1" x14ac:dyDescent="0.2"/>
    <row r="923" s="11" customFormat="1" ht="15.75" customHeight="1" x14ac:dyDescent="0.2"/>
    <row r="924" s="11" customFormat="1" ht="15.75" customHeight="1" x14ac:dyDescent="0.2"/>
    <row r="925" s="11" customFormat="1" ht="15.75" customHeight="1" x14ac:dyDescent="0.2"/>
    <row r="926" s="11" customFormat="1" ht="15.75" customHeight="1" x14ac:dyDescent="0.2"/>
    <row r="927" s="11" customFormat="1" ht="15.75" customHeight="1" x14ac:dyDescent="0.2"/>
    <row r="928" s="11" customFormat="1" ht="15.75" customHeight="1" x14ac:dyDescent="0.2"/>
    <row r="929" s="11" customFormat="1" ht="15.75" customHeight="1" x14ac:dyDescent="0.2"/>
    <row r="930" s="11" customFormat="1" ht="15.75" customHeight="1" x14ac:dyDescent="0.2"/>
    <row r="931" s="11" customFormat="1" ht="15.75" customHeight="1" x14ac:dyDescent="0.2"/>
    <row r="932" s="11" customFormat="1" ht="15.75" customHeight="1" x14ac:dyDescent="0.2"/>
    <row r="933" s="11" customFormat="1" ht="15.75" customHeight="1" x14ac:dyDescent="0.2"/>
    <row r="934" s="11" customFormat="1" ht="15.75" customHeight="1" x14ac:dyDescent="0.2"/>
    <row r="935" s="11" customFormat="1" ht="15.75" customHeight="1" x14ac:dyDescent="0.2"/>
    <row r="936" s="11" customFormat="1" ht="15.75" customHeight="1" x14ac:dyDescent="0.2"/>
    <row r="937" s="11" customFormat="1" ht="15.75" customHeight="1" x14ac:dyDescent="0.2"/>
    <row r="938" s="11" customFormat="1" ht="15.75" customHeight="1" x14ac:dyDescent="0.2"/>
    <row r="939" s="11" customFormat="1" ht="15.75" customHeight="1" x14ac:dyDescent="0.2"/>
    <row r="940" s="11" customFormat="1" ht="15.75" customHeight="1" x14ac:dyDescent="0.2"/>
    <row r="941" s="11" customFormat="1" ht="15.75" customHeight="1" x14ac:dyDescent="0.2"/>
    <row r="942" s="11" customFormat="1" ht="15.75" customHeight="1" x14ac:dyDescent="0.2"/>
    <row r="943" s="11" customFormat="1" ht="15.75" customHeight="1" x14ac:dyDescent="0.2"/>
    <row r="944" s="11" customFormat="1" ht="15.75" customHeight="1" x14ac:dyDescent="0.2"/>
    <row r="945" s="11" customFormat="1" ht="15.75" customHeight="1" x14ac:dyDescent="0.2"/>
    <row r="946" s="11" customFormat="1" ht="15.75" customHeight="1" x14ac:dyDescent="0.2"/>
    <row r="947" s="11" customFormat="1" ht="15.75" customHeight="1" x14ac:dyDescent="0.2"/>
    <row r="948" s="11" customFormat="1" ht="15.75" customHeight="1" x14ac:dyDescent="0.2"/>
    <row r="949" s="11" customFormat="1" ht="15.75" customHeight="1" x14ac:dyDescent="0.2"/>
    <row r="950" s="11" customFormat="1" ht="15.75" customHeight="1" x14ac:dyDescent="0.2"/>
    <row r="951" s="11" customFormat="1" ht="15.75" customHeight="1" x14ac:dyDescent="0.2"/>
    <row r="952" s="11" customFormat="1" ht="15.75" customHeight="1" x14ac:dyDescent="0.2"/>
    <row r="953" s="11" customFormat="1" ht="15.75" customHeight="1" x14ac:dyDescent="0.2"/>
    <row r="954" s="11" customFormat="1" ht="15.75" customHeight="1" x14ac:dyDescent="0.2"/>
    <row r="955" s="11" customFormat="1" ht="15.75" customHeight="1" x14ac:dyDescent="0.2"/>
    <row r="956" s="11" customFormat="1" ht="15.75" customHeight="1" x14ac:dyDescent="0.2"/>
    <row r="957" s="11" customFormat="1" ht="15.75" customHeight="1" x14ac:dyDescent="0.2"/>
    <row r="958" s="11" customFormat="1" ht="15.75" customHeight="1" x14ac:dyDescent="0.2"/>
    <row r="959" s="11" customFormat="1" ht="15.75" customHeight="1" x14ac:dyDescent="0.2"/>
    <row r="960" s="11" customFormat="1" ht="15.75" customHeight="1" x14ac:dyDescent="0.2"/>
    <row r="961" s="11" customFormat="1" ht="15.75" customHeight="1" x14ac:dyDescent="0.2"/>
    <row r="962" s="11" customFormat="1" ht="15.75" customHeight="1" x14ac:dyDescent="0.2"/>
    <row r="963" s="11" customFormat="1" ht="15.75" customHeight="1" x14ac:dyDescent="0.2"/>
    <row r="964" s="11" customFormat="1" ht="15.75" customHeight="1" x14ac:dyDescent="0.2"/>
    <row r="965" s="11" customFormat="1" ht="15.75" customHeight="1" x14ac:dyDescent="0.2"/>
    <row r="966" s="11" customFormat="1" ht="15.75" customHeight="1" x14ac:dyDescent="0.2"/>
    <row r="967" s="11" customFormat="1" ht="15.75" customHeight="1" x14ac:dyDescent="0.2"/>
    <row r="968" s="11" customFormat="1" ht="15.75" customHeight="1" x14ac:dyDescent="0.2"/>
    <row r="969" s="11" customFormat="1" ht="15.75" customHeight="1" x14ac:dyDescent="0.2"/>
    <row r="970" s="11" customFormat="1" ht="15.75" customHeight="1" x14ac:dyDescent="0.2"/>
    <row r="971" s="11" customFormat="1" ht="15.75" customHeight="1" x14ac:dyDescent="0.2"/>
    <row r="972" s="11" customFormat="1" ht="15.75" customHeight="1" x14ac:dyDescent="0.2"/>
    <row r="973" s="11" customFormat="1" ht="15.75" customHeight="1" x14ac:dyDescent="0.2"/>
    <row r="974" s="11" customFormat="1" ht="15.75" customHeight="1" x14ac:dyDescent="0.2"/>
    <row r="975" s="11" customFormat="1" ht="15.75" customHeight="1" x14ac:dyDescent="0.2"/>
    <row r="976" s="11" customFormat="1" ht="15.75" customHeight="1" x14ac:dyDescent="0.2"/>
    <row r="977" s="11" customFormat="1" ht="15.75" customHeight="1" x14ac:dyDescent="0.2"/>
    <row r="978" s="11" customFormat="1" ht="15.75" customHeight="1" x14ac:dyDescent="0.2"/>
    <row r="979" s="11" customFormat="1" ht="15.75" customHeight="1" x14ac:dyDescent="0.2"/>
    <row r="980" s="11" customFormat="1" ht="15.75" customHeight="1" x14ac:dyDescent="0.2"/>
    <row r="981" s="11" customFormat="1" ht="15.75" customHeight="1" x14ac:dyDescent="0.2"/>
    <row r="982" s="11" customFormat="1" ht="15.75" customHeight="1" x14ac:dyDescent="0.2"/>
    <row r="983" s="11" customFormat="1" ht="15.75" customHeight="1" x14ac:dyDescent="0.2"/>
    <row r="984" s="11" customFormat="1" ht="15.75" customHeight="1" x14ac:dyDescent="0.2"/>
    <row r="985" s="11" customFormat="1" ht="15.75" customHeight="1" x14ac:dyDescent="0.2"/>
    <row r="986" s="11" customFormat="1" ht="15.75" customHeight="1" x14ac:dyDescent="0.2"/>
    <row r="987" s="11" customFormat="1" ht="15.75" customHeight="1" x14ac:dyDescent="0.2"/>
    <row r="988" s="11" customFormat="1" ht="15.75" customHeight="1" x14ac:dyDescent="0.2"/>
    <row r="989" s="11" customFormat="1" ht="15.75" customHeight="1" x14ac:dyDescent="0.2"/>
    <row r="990" s="11" customFormat="1" ht="15.75" customHeight="1" x14ac:dyDescent="0.2"/>
    <row r="991" s="11" customFormat="1" ht="15.75" customHeight="1" x14ac:dyDescent="0.2"/>
    <row r="992" s="11" customFormat="1" ht="15.75" customHeight="1" x14ac:dyDescent="0.2"/>
    <row r="993" s="11" customFormat="1" ht="15.75" customHeight="1" x14ac:dyDescent="0.2"/>
    <row r="994" s="11" customFormat="1" ht="15.75" customHeight="1" x14ac:dyDescent="0.2"/>
    <row r="995" s="11" customFormat="1" ht="15.75" customHeight="1" x14ac:dyDescent="0.2"/>
    <row r="996" s="11" customFormat="1" ht="15.75" customHeight="1" x14ac:dyDescent="0.2"/>
    <row r="997" s="11" customFormat="1" ht="15.75" customHeight="1" x14ac:dyDescent="0.2"/>
    <row r="998" s="11" customFormat="1" ht="15.75" customHeight="1" x14ac:dyDescent="0.2"/>
    <row r="999" s="11" customFormat="1" ht="15.75" customHeight="1" x14ac:dyDescent="0.2"/>
    <row r="1000" s="11" customFormat="1" ht="15.75" customHeight="1" x14ac:dyDescent="0.2"/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9244-0ECC-40A3-8FC0-4A8C8C4088D6}">
  <dimension ref="A1:H15"/>
  <sheetViews>
    <sheetView tabSelected="1" workbookViewId="0">
      <selection activeCell="C2" sqref="C2"/>
    </sheetView>
  </sheetViews>
  <sheetFormatPr defaultRowHeight="12.75" x14ac:dyDescent="0.2"/>
  <cols>
    <col min="2" max="2" width="16.5703125" customWidth="1"/>
    <col min="3" max="3" width="97.5703125" customWidth="1"/>
    <col min="7" max="7" width="17.5703125" customWidth="1"/>
  </cols>
  <sheetData>
    <row r="1" spans="1:8" x14ac:dyDescent="0.2">
      <c r="A1" t="s">
        <v>101</v>
      </c>
    </row>
    <row r="3" spans="1:8" x14ac:dyDescent="0.2">
      <c r="A3" s="17" t="s">
        <v>106</v>
      </c>
      <c r="B3" s="17" t="s">
        <v>107</v>
      </c>
      <c r="C3" s="17" t="s">
        <v>108</v>
      </c>
    </row>
    <row r="4" spans="1:8" ht="27" customHeight="1" x14ac:dyDescent="0.2">
      <c r="A4">
        <v>1</v>
      </c>
      <c r="B4" s="17" t="s">
        <v>109</v>
      </c>
      <c r="C4" s="17" t="s">
        <v>112</v>
      </c>
      <c r="F4" s="17"/>
      <c r="G4" s="17"/>
      <c r="H4" s="17"/>
    </row>
    <row r="5" spans="1:8" ht="25.5" customHeight="1" x14ac:dyDescent="0.2">
      <c r="A5">
        <v>2</v>
      </c>
      <c r="B5" s="17" t="s">
        <v>95</v>
      </c>
      <c r="C5" s="17" t="s">
        <v>110</v>
      </c>
      <c r="E5" s="17" t="s">
        <v>111</v>
      </c>
    </row>
    <row r="6" spans="1:8" ht="30.75" customHeight="1" x14ac:dyDescent="0.2">
      <c r="A6">
        <v>3</v>
      </c>
      <c r="B6" s="17" t="s">
        <v>96</v>
      </c>
      <c r="C6" s="17" t="s">
        <v>114</v>
      </c>
    </row>
    <row r="7" spans="1:8" ht="28.5" customHeight="1" x14ac:dyDescent="0.2">
      <c r="A7">
        <v>4</v>
      </c>
      <c r="B7" s="17" t="s">
        <v>113</v>
      </c>
      <c r="C7" s="17" t="s">
        <v>116</v>
      </c>
    </row>
    <row r="8" spans="1:8" ht="35.25" customHeight="1" x14ac:dyDescent="0.2">
      <c r="A8">
        <v>5</v>
      </c>
      <c r="B8" s="17" t="s">
        <v>115</v>
      </c>
      <c r="C8" s="17" t="s">
        <v>117</v>
      </c>
    </row>
    <row r="9" spans="1:8" ht="33" customHeight="1" x14ac:dyDescent="0.2">
      <c r="A9">
        <v>6</v>
      </c>
      <c r="B9" s="17" t="s">
        <v>118</v>
      </c>
      <c r="C9" s="17" t="s">
        <v>119</v>
      </c>
    </row>
    <row r="10" spans="1:8" ht="36" customHeight="1" x14ac:dyDescent="0.2">
      <c r="A10">
        <v>7</v>
      </c>
      <c r="B10" s="17" t="s">
        <v>120</v>
      </c>
      <c r="C10" s="17" t="s">
        <v>121</v>
      </c>
    </row>
    <row r="11" spans="1:8" ht="36.75" customHeight="1" x14ac:dyDescent="0.2">
      <c r="A11">
        <v>8</v>
      </c>
      <c r="B11" s="17" t="s">
        <v>122</v>
      </c>
      <c r="C11" s="17" t="s">
        <v>123</v>
      </c>
    </row>
    <row r="12" spans="1:8" ht="34.5" customHeight="1" x14ac:dyDescent="0.2">
      <c r="A12">
        <v>9</v>
      </c>
      <c r="B12" s="17" t="s">
        <v>124</v>
      </c>
      <c r="C12" s="17" t="s">
        <v>127</v>
      </c>
    </row>
    <row r="13" spans="1:8" ht="30.75" customHeight="1" x14ac:dyDescent="0.2">
      <c r="A13">
        <v>10</v>
      </c>
      <c r="B13" s="17" t="s">
        <v>125</v>
      </c>
      <c r="C13" s="17" t="s">
        <v>126</v>
      </c>
    </row>
    <row r="14" spans="1:8" ht="33" customHeight="1" x14ac:dyDescent="0.2">
      <c r="A14">
        <v>11</v>
      </c>
      <c r="B14" s="17" t="s">
        <v>128</v>
      </c>
      <c r="C14" s="17" t="s">
        <v>129</v>
      </c>
    </row>
    <row r="15" spans="1:8" ht="33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Exploration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2026-06-23T07:13:32Z</dcterms:modified>
</cp:coreProperties>
</file>