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AC006F-E9C2-4AA2-99A4-FDD2EE95C9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" sheetId="1" r:id="rId1"/>
    <sheet name="data cleaning" sheetId="7" r:id="rId2"/>
    <sheet name="Observ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2" i="7"/>
  <c r="G20" i="7"/>
  <c r="G21" i="7"/>
  <c r="G19" i="7"/>
  <c r="G7" i="7"/>
  <c r="G23" i="7"/>
  <c r="G31" i="7"/>
  <c r="G3" i="7"/>
  <c r="G32" i="7"/>
  <c r="G16" i="7"/>
  <c r="G25" i="7"/>
  <c r="G15" i="7"/>
  <c r="G26" i="7"/>
  <c r="G11" i="7"/>
  <c r="G18" i="7"/>
  <c r="G5" i="7"/>
  <c r="G30" i="7"/>
  <c r="G24" i="7"/>
  <c r="G13" i="7"/>
  <c r="G9" i="7"/>
  <c r="G29" i="7"/>
  <c r="G27" i="7"/>
  <c r="G10" i="7"/>
  <c r="G6" i="7"/>
  <c r="G17" i="7"/>
  <c r="G22" i="7"/>
  <c r="G4" i="7"/>
  <c r="G12" i="7"/>
  <c r="G8" i="7"/>
  <c r="G14" i="7"/>
  <c r="G2" i="7"/>
  <c r="G2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B05587-F78A-47AA-AAB9-2C3573EFD99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8115E387-6683-4E6A-9DC3-EAD4E86990D6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3F268F4C-2C7E-42F5-BD08-C214C3A8AD7D}" keepAlive="1" name="Query - Table1_2" description="Connection to the 'Table1_2' query in the workbook." type="5" refreshedVersion="0" background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<sst xmlns="http://schemas.openxmlformats.org/spreadsheetml/2006/main" count="336" uniqueCount="122">
  <si>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</si>
  <si>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</si>
  <si>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</si>
  <si>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</si>
  <si>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</si>
  <si>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</si>
  <si>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</si>
  <si>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</si>
  <si>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</si>
  <si>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</si>
  <si>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</si>
  <si>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</si>
  <si>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</si>
  <si>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</si>
  <si>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</si>
  <si>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</si>
  <si>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</si>
  <si>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</si>
  <si>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</si>
  <si>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</si>
  <si>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</si>
  <si>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</si>
  <si>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</si>
  <si>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</si>
  <si>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</si>
  <si>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</si>
  <si>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</si>
  <si>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</si>
  <si>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</si>
  <si>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</si>
  <si>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</si>
  <si>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</si>
  <si>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</si>
  <si>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</si>
  <si>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</si>
  <si>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</si>
  <si>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</si>
  <si>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</si>
  <si>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</si>
  <si>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</si>
  <si>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</si>
  <si>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</si>
  <si>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</si>
  <si>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</si>
  <si>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</si>
  <si>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</si>
  <si>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</si>
  <si>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</si>
  <si>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</si>
  <si>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</si>
  <si>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</si>
  <si>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</si>
  <si>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</si>
  <si>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</si>
  <si>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</si>
  <si>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</si>
  <si>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</si>
  <si>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</si>
  <si>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</si>
  <si>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</si>
  <si>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</si>
  <si>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</si>
  <si>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</si>
  <si>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</si>
  <si>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</si>
  <si>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</si>
  <si>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</si>
  <si>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</si>
  <si>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</si>
  <si>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</si>
  <si>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</si>
  <si>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</si>
  <si>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</si>
  <si>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</si>
  <si>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</si>
  <si>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</si>
  <si>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</si>
  <si>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</si>
  <si>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</si>
  <si>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</si>
  <si>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</si>
  <si>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</si>
  <si>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</si>
  <si>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</si>
  <si>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</si>
  <si>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</si>
  <si>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</si>
  <si>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</si>
  <si>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</si>
  <si>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</si>
  <si>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</si>
  <si>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</si>
  <si>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</si>
  <si>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OBSERVATIONS</t>
  </si>
  <si>
    <t>S.NO</t>
  </si>
  <si>
    <t>TASK</t>
  </si>
  <si>
    <t>RESULT</t>
  </si>
  <si>
    <t>handling missing values</t>
  </si>
  <si>
    <t>there is no missing values in the price column. We can use countblank function for counting the missing values.</t>
  </si>
  <si>
    <t>missing values</t>
  </si>
  <si>
    <t>we can use averageif function for finding price of the product of missing price.</t>
  </si>
  <si>
    <t>we have to use dollor symbolor press F4 key  for each and every cell for for freezing the column.</t>
  </si>
  <si>
    <t>correcting inconsistent data</t>
  </si>
  <si>
    <t>use trim function for removing extra spaces.</t>
  </si>
  <si>
    <t>use clean function for removing non printable characters.</t>
  </si>
  <si>
    <t>typos</t>
  </si>
  <si>
    <t>find and replace</t>
  </si>
  <si>
    <t>the standardized text format are in proper. If there is any spelling mistakes and mismatching values use ctrl H for find and replace the text.</t>
  </si>
  <si>
    <t>removing duplicates</t>
  </si>
  <si>
    <t>go to data tab ansd select the remove duplicate tab and select the column which we want and click ok .</t>
  </si>
  <si>
    <t>country code</t>
  </si>
  <si>
    <t>manufacturing date</t>
  </si>
  <si>
    <t>spiliting and merging data</t>
  </si>
  <si>
    <t>using left and right function I spilt the column into two varient.</t>
  </si>
  <si>
    <t>product brand</t>
  </si>
  <si>
    <t>Column1</t>
  </si>
  <si>
    <t>data bar</t>
  </si>
  <si>
    <t>custom rule</t>
  </si>
  <si>
    <t>number formatting</t>
  </si>
  <si>
    <t>for currency format select the cell range and in number ribbon go to general and press currency</t>
  </si>
  <si>
    <t>select the wanted cell range and go to conditional formating and select data bar</t>
  </si>
  <si>
    <t>select the wanted cell range and go to conditional formating and select highlight cell rule and go to text that contain and click ok electronics will be highlighted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</si>
</sst>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6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6" borderId="3" xfId="0" applyFont="1" applyFill="1" applyBorder="1"/>
    <xf numFmtId="0" fontId="2" fillId="6" borderId="4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4" xfId="0" applyFont="1" applyBorder="1"/>
    <xf numFmtId="0" fontId="3" fillId="0" borderId="4" xfId="0" applyFont="1" applyBorder="1"/>
    <xf numFmtId="0" fontId="2" fillId="0" borderId="3" xfId="0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6" borderId="2" xfId="0" applyFont="1" applyFill="1" applyBorder="1"/>
    <xf numFmtId="164" fontId="1" fillId="2" borderId="4" xfId="0" applyNumberFormat="1" applyFont="1" applyFill="1" applyBorder="1" applyAlignment="1">
      <alignment horizontal="center"/>
    </xf>
    <xf numFmtId="164" fontId="2" fillId="6" borderId="4" xfId="0" applyNumberFormat="1" applyFont="1" applyFill="1" applyBorder="1"/>
    <xf numFmtId="164" fontId="2" fillId="3" borderId="4" xfId="0" applyNumberFormat="1" applyFont="1" applyFill="1" applyBorder="1"/>
    <xf numFmtId="164" fontId="2" fillId="0" borderId="4" xfId="0" applyNumberFormat="1" applyFont="1" applyBorder="1"/>
    <xf numFmtId="164" fontId="2" fillId="3" borderId="2" xfId="0" applyNumberFormat="1" applyFont="1" applyFill="1" applyBorder="1"/>
    <xf numFmtId="0" fontId="4" fillId="0" borderId="0" xfId="0" applyFont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4" workbookViewId="0">
      <selection activeCell="F2" sqref="F2:F35"/>
    </sheetView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BF61-14B0-445E-BA8A-6F81AEEE1257}">
  <sheetPr>
    <outlinePr summaryBelow="0" summaryRight="0"/>
  </sheetPr>
  <dimension ref="A1:M1000"/>
  <sheetViews>
    <sheetView workbookViewId="0">
      <selection activeCell="N8" sqref="N8"/>
    </sheetView>
  </sheetViews>
  <sheetFormatPr defaultColWidth="12.5703125" defaultRowHeight="15" customHeight="1" x14ac:dyDescent="0.2"/>
  <cols>
    <col min="1" max="1" width="14" customWidth="1"/>
    <col min="2" max="2" width="16" customWidth="1"/>
    <col min="3" max="3" width="16.7109375" customWidth="1"/>
    <col min="6" max="6" width="13.140625" customWidth="1"/>
    <col min="7" max="7" width="19" customWidth="1"/>
    <col min="8" max="8" width="22.5703125" customWidth="1"/>
    <col min="9" max="9" width="16.7109375" customWidth="1"/>
    <col min="10" max="10" width="26.42578125" customWidth="1"/>
  </cols>
  <sheetData>
    <row r="1" spans="1:13" ht="15.75" customHeight="1" x14ac:dyDescent="0.2">
      <c r="A1" s="7" t="s">
        <v>115</v>
      </c>
      <c r="B1" s="8" t="s">
        <v>1</v>
      </c>
      <c r="C1" s="8" t="s">
        <v>2</v>
      </c>
      <c r="D1" s="23" t="s">
        <v>3</v>
      </c>
      <c r="E1" s="8" t="s">
        <v>4</v>
      </c>
      <c r="F1" s="8" t="s">
        <v>5</v>
      </c>
      <c r="G1" s="9" t="s">
        <v>99</v>
      </c>
      <c r="H1" s="8" t="s">
        <v>111</v>
      </c>
      <c r="I1" s="8" t="s">
        <v>110</v>
      </c>
      <c r="J1" s="10" t="s">
        <v>114</v>
      </c>
      <c r="K1" s="29"/>
      <c r="L1" s="30" t="s">
        <v>116</v>
      </c>
      <c r="M1" s="29" t="s">
        <v>117</v>
      </c>
    </row>
    <row r="2" spans="1:13" ht="15.75" customHeight="1" x14ac:dyDescent="0.2">
      <c r="A2" s="11" t="s">
        <v>6</v>
      </c>
      <c r="B2" s="12" t="s">
        <v>7</v>
      </c>
      <c r="C2" s="12" t="s">
        <v>8</v>
      </c>
      <c r="D2" s="24">
        <v>1000</v>
      </c>
      <c r="E2" s="12">
        <v>30</v>
      </c>
      <c r="F2" s="12" t="s">
        <v>9</v>
      </c>
      <c r="G2" s="12">
        <f ca="1">COUNTBLANK('data cleaning'!$G$2:$G$32)</f>
        <v>0</v>
      </c>
      <c r="H2" s="13" t="str">
        <f>LEFT(A2,2)</f>
        <v>28</v>
      </c>
      <c r="I2" s="13" t="str">
        <f>RIGHT(A2,2)</f>
        <v>US</v>
      </c>
      <c r="J2" s="14" t="str">
        <f>CONCATENATE(B2,C2)</f>
        <v>LaptopDell</v>
      </c>
      <c r="K2" s="24"/>
      <c r="L2" s="3">
        <v>1000</v>
      </c>
      <c r="M2" t="s">
        <v>9</v>
      </c>
    </row>
    <row r="3" spans="1:13" ht="15.75" customHeight="1" x14ac:dyDescent="0.2">
      <c r="A3" s="15" t="s">
        <v>10</v>
      </c>
      <c r="B3" s="16" t="s">
        <v>11</v>
      </c>
      <c r="C3" s="16" t="s">
        <v>12</v>
      </c>
      <c r="D3" s="25">
        <v>80</v>
      </c>
      <c r="E3" s="16">
        <v>15</v>
      </c>
      <c r="F3" s="16" t="s">
        <v>13</v>
      </c>
      <c r="G3" s="17">
        <f ca="1">COUNTBLANK('data cleaning'!$G$2:$G$32)</f>
        <v>0</v>
      </c>
      <c r="H3" s="18" t="str">
        <f t="shared" ref="H3:H32" si="0">LEFT(A3,2)</f>
        <v>15</v>
      </c>
      <c r="I3" s="18" t="str">
        <f t="shared" ref="I3:I32" si="1">RIGHT(A3,2)</f>
        <v>US</v>
      </c>
      <c r="J3" s="14" t="str">
        <f t="shared" ref="J3:J32" si="2">CONCATENATE(B3,C3)</f>
        <v>SneakersNike</v>
      </c>
      <c r="K3" s="25"/>
      <c r="L3" s="4">
        <v>80</v>
      </c>
      <c r="M3" t="s">
        <v>13</v>
      </c>
    </row>
    <row r="4" spans="1:13" ht="15.75" customHeight="1" x14ac:dyDescent="0.2">
      <c r="A4" s="11" t="s">
        <v>14</v>
      </c>
      <c r="B4" s="12" t="s">
        <v>15</v>
      </c>
      <c r="C4" s="12" t="s">
        <v>16</v>
      </c>
      <c r="D4" s="24">
        <v>130</v>
      </c>
      <c r="E4" s="12">
        <v>40</v>
      </c>
      <c r="F4" s="12" t="s">
        <v>17</v>
      </c>
      <c r="G4" s="12">
        <f ca="1">COUNTBLANK('data cleaning'!$G$2:$G$32)</f>
        <v>0</v>
      </c>
      <c r="H4" s="13" t="str">
        <f t="shared" si="0"/>
        <v>03</v>
      </c>
      <c r="I4" s="13" t="str">
        <f t="shared" si="1"/>
        <v>US</v>
      </c>
      <c r="J4" s="14" t="str">
        <f t="shared" si="2"/>
        <v>Coffee MakerKeurig</v>
      </c>
      <c r="K4" s="24"/>
      <c r="L4" s="3">
        <v>130</v>
      </c>
      <c r="M4" t="s">
        <v>17</v>
      </c>
    </row>
    <row r="5" spans="1:13" ht="15.75" customHeight="1" x14ac:dyDescent="0.2">
      <c r="A5" s="15" t="s">
        <v>18</v>
      </c>
      <c r="B5" s="16" t="s">
        <v>19</v>
      </c>
      <c r="C5" s="16" t="s">
        <v>20</v>
      </c>
      <c r="D5" s="25">
        <v>900</v>
      </c>
      <c r="E5" s="16">
        <v>25</v>
      </c>
      <c r="F5" s="16" t="s">
        <v>9</v>
      </c>
      <c r="G5" s="17">
        <f ca="1">COUNTBLANK('data cleaning'!$G$2:$G$32)</f>
        <v>0</v>
      </c>
      <c r="H5" s="18" t="str">
        <f t="shared" si="0"/>
        <v>11</v>
      </c>
      <c r="I5" s="18" t="str">
        <f t="shared" si="1"/>
        <v>US</v>
      </c>
      <c r="J5" s="14" t="str">
        <f t="shared" si="2"/>
        <v>SmartphoneSamsung</v>
      </c>
      <c r="K5" s="25"/>
      <c r="L5" s="4">
        <v>900</v>
      </c>
      <c r="M5" t="s">
        <v>9</v>
      </c>
    </row>
    <row r="6" spans="1:13" ht="15.75" customHeight="1" x14ac:dyDescent="0.2">
      <c r="A6" s="11" t="s">
        <v>21</v>
      </c>
      <c r="B6" s="12" t="s">
        <v>22</v>
      </c>
      <c r="C6" s="12" t="s">
        <v>23</v>
      </c>
      <c r="D6" s="24">
        <v>70</v>
      </c>
      <c r="E6" s="12">
        <v>20</v>
      </c>
      <c r="F6" s="12" t="s">
        <v>24</v>
      </c>
      <c r="G6" s="12">
        <f ca="1">COUNTBLANK('data cleaning'!$G$2:$G$32)</f>
        <v>0</v>
      </c>
      <c r="H6" s="13" t="str">
        <f t="shared" si="0"/>
        <v>22</v>
      </c>
      <c r="I6" s="13" t="str">
        <f t="shared" si="1"/>
        <v>US</v>
      </c>
      <c r="J6" s="14" t="str">
        <f t="shared" si="2"/>
        <v>BackpackNorth Face</v>
      </c>
      <c r="K6" s="24"/>
      <c r="L6" s="3">
        <v>70</v>
      </c>
      <c r="M6" t="s">
        <v>24</v>
      </c>
    </row>
    <row r="7" spans="1:13" ht="15.75" customHeight="1" x14ac:dyDescent="0.2">
      <c r="A7" s="15" t="s">
        <v>25</v>
      </c>
      <c r="B7" s="16" t="s">
        <v>26</v>
      </c>
      <c r="C7" s="16" t="s">
        <v>27</v>
      </c>
      <c r="D7" s="25">
        <v>200</v>
      </c>
      <c r="E7" s="16">
        <v>45</v>
      </c>
      <c r="F7" s="16" t="s">
        <v>9</v>
      </c>
      <c r="G7" s="17">
        <f ca="1">COUNTBLANK('data cleaning'!$G$2:$G$32)</f>
        <v>0</v>
      </c>
      <c r="H7" s="18" t="str">
        <f t="shared" si="0"/>
        <v>07</v>
      </c>
      <c r="I7" s="18" t="str">
        <f t="shared" si="1"/>
        <v>UK</v>
      </c>
      <c r="J7" s="14" t="str">
        <f t="shared" si="2"/>
        <v>HeadphonesSony</v>
      </c>
      <c r="K7" s="25"/>
      <c r="L7" s="4">
        <v>200</v>
      </c>
      <c r="M7" t="s">
        <v>9</v>
      </c>
    </row>
    <row r="8" spans="1:13" ht="15.75" customHeight="1" x14ac:dyDescent="0.2">
      <c r="A8" s="11" t="s">
        <v>28</v>
      </c>
      <c r="B8" s="12" t="s">
        <v>29</v>
      </c>
      <c r="C8" s="12" t="s">
        <v>30</v>
      </c>
      <c r="D8" s="24">
        <v>30</v>
      </c>
      <c r="E8" s="12">
        <v>5</v>
      </c>
      <c r="F8" s="12" t="s">
        <v>13</v>
      </c>
      <c r="G8" s="12">
        <f ca="1">COUNTBLANK('data cleaning'!$G$2:$G$32)</f>
        <v>0</v>
      </c>
      <c r="H8" s="13" t="str">
        <f t="shared" si="0"/>
        <v>19</v>
      </c>
      <c r="I8" s="13" t="str">
        <f t="shared" si="1"/>
        <v>UK</v>
      </c>
      <c r="J8" s="14" t="str">
        <f t="shared" si="2"/>
        <v>T-shirtAdidas</v>
      </c>
      <c r="K8" s="24"/>
      <c r="L8" s="3">
        <v>30</v>
      </c>
      <c r="M8" t="s">
        <v>13</v>
      </c>
    </row>
    <row r="9" spans="1:13" ht="15.75" customHeight="1" x14ac:dyDescent="0.2">
      <c r="A9" s="15" t="s">
        <v>31</v>
      </c>
      <c r="B9" s="16" t="s">
        <v>32</v>
      </c>
      <c r="C9" s="16" t="s">
        <v>33</v>
      </c>
      <c r="D9" s="25">
        <v>90</v>
      </c>
      <c r="E9" s="16">
        <v>35</v>
      </c>
      <c r="F9" s="16" t="s">
        <v>17</v>
      </c>
      <c r="G9" s="17">
        <f ca="1">COUNTBLANK('data cleaning'!$G$2:$G$32)</f>
        <v>0</v>
      </c>
      <c r="H9" s="18" t="str">
        <f t="shared" si="0"/>
        <v>23</v>
      </c>
      <c r="I9" s="18" t="str">
        <f t="shared" si="1"/>
        <v>UK</v>
      </c>
      <c r="J9" s="14" t="str">
        <f t="shared" si="2"/>
        <v>BlenderNinja</v>
      </c>
      <c r="K9" s="25"/>
      <c r="L9" s="4">
        <v>90</v>
      </c>
      <c r="M9" t="s">
        <v>17</v>
      </c>
    </row>
    <row r="10" spans="1:13" ht="15.75" customHeight="1" x14ac:dyDescent="0.2">
      <c r="A10" s="11" t="s">
        <v>34</v>
      </c>
      <c r="B10" s="12" t="s">
        <v>35</v>
      </c>
      <c r="C10" s="12" t="s">
        <v>36</v>
      </c>
      <c r="D10" s="24">
        <v>500</v>
      </c>
      <c r="E10" s="12">
        <v>50</v>
      </c>
      <c r="F10" s="12" t="s">
        <v>9</v>
      </c>
      <c r="G10" s="12">
        <f ca="1">COUNTBLANK('data cleaning'!$G$2:$G$32)</f>
        <v>0</v>
      </c>
      <c r="H10" s="13" t="str">
        <f t="shared" si="0"/>
        <v>05</v>
      </c>
      <c r="I10" s="13" t="str">
        <f t="shared" si="1"/>
        <v>UK</v>
      </c>
      <c r="J10" s="14" t="str">
        <f t="shared" si="2"/>
        <v>TabletApple</v>
      </c>
      <c r="K10" s="24"/>
      <c r="L10" s="3">
        <v>500</v>
      </c>
      <c r="M10" t="s">
        <v>9</v>
      </c>
    </row>
    <row r="11" spans="1:13" ht="15.75" customHeight="1" x14ac:dyDescent="0.2">
      <c r="A11" s="15" t="s">
        <v>37</v>
      </c>
      <c r="B11" s="16" t="s">
        <v>38</v>
      </c>
      <c r="C11" s="16" t="s">
        <v>39</v>
      </c>
      <c r="D11" s="25">
        <v>130</v>
      </c>
      <c r="E11" s="16">
        <v>10</v>
      </c>
      <c r="F11" s="16" t="s">
        <v>24</v>
      </c>
      <c r="G11" s="17">
        <f ca="1">COUNTBLANK('data cleaning'!$G$2:$G$32)</f>
        <v>0</v>
      </c>
      <c r="H11" s="18" t="str">
        <f t="shared" si="0"/>
        <v>14</v>
      </c>
      <c r="I11" s="18" t="str">
        <f t="shared" si="1"/>
        <v>UK</v>
      </c>
      <c r="J11" s="14" t="str">
        <f t="shared" si="2"/>
        <v>Hiking BootsTimberland</v>
      </c>
      <c r="K11" s="25"/>
      <c r="L11" s="4">
        <v>130</v>
      </c>
      <c r="M11" t="s">
        <v>24</v>
      </c>
    </row>
    <row r="12" spans="1:13" ht="15.75" customHeight="1" x14ac:dyDescent="0.2">
      <c r="A12" s="11" t="s">
        <v>40</v>
      </c>
      <c r="B12" s="12" t="s">
        <v>7</v>
      </c>
      <c r="C12" s="12" t="s">
        <v>41</v>
      </c>
      <c r="D12" s="24">
        <v>950</v>
      </c>
      <c r="E12" s="12">
        <v>25</v>
      </c>
      <c r="F12" s="12" t="s">
        <v>9</v>
      </c>
      <c r="G12" s="12">
        <f ca="1">COUNTBLANK('data cleaning'!$G$2:$G$32)</f>
        <v>0</v>
      </c>
      <c r="H12" s="13" t="str">
        <f t="shared" si="0"/>
        <v>17</v>
      </c>
      <c r="I12" s="13" t="str">
        <f t="shared" si="1"/>
        <v>IN</v>
      </c>
      <c r="J12" s="14" t="str">
        <f t="shared" si="2"/>
        <v>LaptopHP</v>
      </c>
      <c r="K12" s="24"/>
      <c r="L12" s="3">
        <v>950</v>
      </c>
      <c r="M12" t="s">
        <v>9</v>
      </c>
    </row>
    <row r="13" spans="1:13" ht="15.75" customHeight="1" x14ac:dyDescent="0.2">
      <c r="A13" s="15" t="s">
        <v>42</v>
      </c>
      <c r="B13" s="16" t="s">
        <v>11</v>
      </c>
      <c r="C13" s="16" t="s">
        <v>30</v>
      </c>
      <c r="D13" s="25">
        <v>90</v>
      </c>
      <c r="E13" s="16">
        <v>40</v>
      </c>
      <c r="F13" s="16" t="s">
        <v>13</v>
      </c>
      <c r="G13" s="17">
        <f ca="1">COUNTBLANK('data cleaning'!$G$2:$G$32)</f>
        <v>0</v>
      </c>
      <c r="H13" s="18" t="str">
        <f t="shared" si="0"/>
        <v>25</v>
      </c>
      <c r="I13" s="18" t="str">
        <f t="shared" si="1"/>
        <v>AU</v>
      </c>
      <c r="J13" s="14" t="str">
        <f t="shared" si="2"/>
        <v>SneakersAdidas</v>
      </c>
      <c r="K13" s="25"/>
      <c r="L13" s="4">
        <v>90</v>
      </c>
      <c r="M13" t="s">
        <v>13</v>
      </c>
    </row>
    <row r="14" spans="1:13" ht="15.75" customHeight="1" x14ac:dyDescent="0.2">
      <c r="A14" s="11" t="s">
        <v>43</v>
      </c>
      <c r="B14" s="12" t="s">
        <v>15</v>
      </c>
      <c r="C14" s="12" t="s">
        <v>44</v>
      </c>
      <c r="D14" s="24">
        <v>120</v>
      </c>
      <c r="E14" s="12">
        <v>35</v>
      </c>
      <c r="F14" s="12" t="s">
        <v>17</v>
      </c>
      <c r="G14" s="12">
        <f ca="1">COUNTBLANK('data cleaning'!$G$2:$G$32)</f>
        <v>0</v>
      </c>
      <c r="H14" s="13" t="str">
        <f t="shared" si="0"/>
        <v>08</v>
      </c>
      <c r="I14" s="13" t="str">
        <f t="shared" si="1"/>
        <v>DE</v>
      </c>
      <c r="J14" s="14" t="str">
        <f t="shared" si="2"/>
        <v>Coffee MakerNespresso</v>
      </c>
      <c r="K14" s="24"/>
      <c r="L14" s="3">
        <v>120</v>
      </c>
      <c r="M14" t="s">
        <v>17</v>
      </c>
    </row>
    <row r="15" spans="1:13" ht="15.75" customHeight="1" x14ac:dyDescent="0.2">
      <c r="A15" s="15" t="s">
        <v>45</v>
      </c>
      <c r="B15" s="16" t="s">
        <v>46</v>
      </c>
      <c r="C15" s="16" t="s">
        <v>47</v>
      </c>
      <c r="D15" s="25">
        <v>150</v>
      </c>
      <c r="E15" s="16">
        <v>15</v>
      </c>
      <c r="F15" s="16" t="s">
        <v>9</v>
      </c>
      <c r="G15" s="17">
        <f ca="1">COUNTBLANK('data cleaning'!$G$2:$G$32)</f>
        <v>0</v>
      </c>
      <c r="H15" s="18" t="str">
        <f t="shared" si="0"/>
        <v>18</v>
      </c>
      <c r="I15" s="18" t="str">
        <f t="shared" si="1"/>
        <v>CA</v>
      </c>
      <c r="J15" s="14" t="str">
        <f t="shared" si="2"/>
        <v>SmartwatchFitbit</v>
      </c>
      <c r="K15" s="25"/>
      <c r="L15" s="4">
        <v>150</v>
      </c>
      <c r="M15" t="s">
        <v>9</v>
      </c>
    </row>
    <row r="16" spans="1:13" ht="15.75" customHeight="1" x14ac:dyDescent="0.2">
      <c r="A16" s="11" t="s">
        <v>48</v>
      </c>
      <c r="B16" s="12" t="s">
        <v>26</v>
      </c>
      <c r="C16" s="12" t="s">
        <v>49</v>
      </c>
      <c r="D16" s="24">
        <v>250</v>
      </c>
      <c r="E16" s="12">
        <v>20</v>
      </c>
      <c r="F16" s="12" t="s">
        <v>9</v>
      </c>
      <c r="G16" s="12">
        <f ca="1">COUNTBLANK('data cleaning'!$G$2:$G$32)</f>
        <v>0</v>
      </c>
      <c r="H16" s="13" t="str">
        <f t="shared" si="0"/>
        <v>16</v>
      </c>
      <c r="I16" s="13" t="str">
        <f t="shared" si="1"/>
        <v>ES</v>
      </c>
      <c r="J16" s="14" t="str">
        <f t="shared" si="2"/>
        <v>HeadphonesBose</v>
      </c>
      <c r="K16" s="24"/>
      <c r="L16" s="3">
        <v>250</v>
      </c>
      <c r="M16" t="s">
        <v>9</v>
      </c>
    </row>
    <row r="17" spans="1:13" ht="15.75" customHeight="1" x14ac:dyDescent="0.2">
      <c r="A17" s="15" t="s">
        <v>50</v>
      </c>
      <c r="B17" s="16" t="s">
        <v>51</v>
      </c>
      <c r="C17" s="16" t="s">
        <v>52</v>
      </c>
      <c r="D17" s="25">
        <v>50</v>
      </c>
      <c r="E17" s="16">
        <v>35</v>
      </c>
      <c r="F17" s="16" t="s">
        <v>53</v>
      </c>
      <c r="G17" s="17">
        <f ca="1">COUNTBLANK('data cleaning'!$G$2:$G$32)</f>
        <v>0</v>
      </c>
      <c r="H17" s="18" t="str">
        <f t="shared" si="0"/>
        <v>21</v>
      </c>
      <c r="I17" s="18" t="str">
        <f t="shared" si="1"/>
        <v>CA</v>
      </c>
      <c r="J17" s="14" t="str">
        <f t="shared" si="2"/>
        <v>Laptop BagSamsonite</v>
      </c>
      <c r="K17" s="25"/>
      <c r="L17" s="4">
        <v>50</v>
      </c>
      <c r="M17" t="s">
        <v>53</v>
      </c>
    </row>
    <row r="18" spans="1:13" ht="15.75" customHeight="1" x14ac:dyDescent="0.2">
      <c r="A18" s="11" t="s">
        <v>54</v>
      </c>
      <c r="B18" s="12" t="s">
        <v>46</v>
      </c>
      <c r="C18" s="12" t="s">
        <v>55</v>
      </c>
      <c r="D18" s="24">
        <v>160</v>
      </c>
      <c r="E18" s="12">
        <v>15</v>
      </c>
      <c r="F18" s="12" t="s">
        <v>9</v>
      </c>
      <c r="G18" s="12">
        <f ca="1">COUNTBLANK('data cleaning'!$G$2:$G$32)</f>
        <v>0</v>
      </c>
      <c r="H18" s="13" t="str">
        <f t="shared" si="0"/>
        <v>20</v>
      </c>
      <c r="I18" s="13" t="str">
        <f t="shared" si="1"/>
        <v>CN</v>
      </c>
      <c r="J18" s="14" t="str">
        <f t="shared" si="2"/>
        <v>SmartwatchHuawei</v>
      </c>
      <c r="K18" s="24"/>
      <c r="L18" s="3">
        <v>160</v>
      </c>
      <c r="M18" t="s">
        <v>9</v>
      </c>
    </row>
    <row r="19" spans="1:13" ht="15.75" customHeight="1" x14ac:dyDescent="0.2">
      <c r="A19" s="15" t="s">
        <v>56</v>
      </c>
      <c r="B19" s="16" t="s">
        <v>7</v>
      </c>
      <c r="C19" s="16" t="s">
        <v>57</v>
      </c>
      <c r="D19" s="25">
        <v>980</v>
      </c>
      <c r="E19" s="16">
        <v>10</v>
      </c>
      <c r="F19" s="16" t="s">
        <v>9</v>
      </c>
      <c r="G19" s="17">
        <f ca="1">COUNTBLANK('data cleaning'!$G$2:$G$32)</f>
        <v>0</v>
      </c>
      <c r="H19" s="18" t="str">
        <f t="shared" si="0"/>
        <v>27</v>
      </c>
      <c r="I19" s="18" t="str">
        <f t="shared" si="1"/>
        <v>IT</v>
      </c>
      <c r="J19" s="14" t="str">
        <f t="shared" si="2"/>
        <v>LaptopAsus</v>
      </c>
      <c r="K19" s="25"/>
      <c r="L19" s="4">
        <v>980</v>
      </c>
      <c r="M19" t="s">
        <v>9</v>
      </c>
    </row>
    <row r="20" spans="1:13" ht="15.75" customHeight="1" x14ac:dyDescent="0.2">
      <c r="A20" s="11" t="s">
        <v>58</v>
      </c>
      <c r="B20" s="12" t="s">
        <v>59</v>
      </c>
      <c r="C20" s="12" t="s">
        <v>60</v>
      </c>
      <c r="D20" s="24">
        <v>150</v>
      </c>
      <c r="E20" s="12">
        <v>15</v>
      </c>
      <c r="F20" s="12" t="s">
        <v>13</v>
      </c>
      <c r="G20" s="12">
        <f ca="1">COUNTBLANK('data cleaning'!$G$2:$G$32)</f>
        <v>0</v>
      </c>
      <c r="H20" s="13" t="str">
        <f t="shared" si="0"/>
        <v>01</v>
      </c>
      <c r="I20" s="13" t="str">
        <f t="shared" si="1"/>
        <v>UK</v>
      </c>
      <c r="J20" s="14" t="str">
        <f t="shared" si="2"/>
        <v>SunglassesOakley</v>
      </c>
      <c r="K20" s="24"/>
      <c r="L20" s="3">
        <v>150</v>
      </c>
      <c r="M20" t="s">
        <v>13</v>
      </c>
    </row>
    <row r="21" spans="1:13" ht="15.75" customHeight="1" x14ac:dyDescent="0.2">
      <c r="A21" s="15" t="s">
        <v>61</v>
      </c>
      <c r="B21" s="16" t="s">
        <v>62</v>
      </c>
      <c r="C21" s="16" t="s">
        <v>63</v>
      </c>
      <c r="D21" s="25">
        <v>200</v>
      </c>
      <c r="E21" s="16">
        <v>10</v>
      </c>
      <c r="F21" s="16" t="s">
        <v>24</v>
      </c>
      <c r="G21" s="17">
        <f ca="1">COUNTBLANK('data cleaning'!$G$2:$G$32)</f>
        <v>0</v>
      </c>
      <c r="H21" s="18" t="str">
        <f t="shared" si="0"/>
        <v>14</v>
      </c>
      <c r="I21" s="18" t="str">
        <f t="shared" si="1"/>
        <v>US</v>
      </c>
      <c r="J21" s="14" t="str">
        <f t="shared" si="2"/>
        <v>Camping TentColeman</v>
      </c>
      <c r="K21" s="25"/>
      <c r="L21" s="4">
        <v>200</v>
      </c>
      <c r="M21" t="s">
        <v>24</v>
      </c>
    </row>
    <row r="22" spans="1:13" ht="15.75" customHeight="1" x14ac:dyDescent="0.2">
      <c r="A22" s="11" t="s">
        <v>64</v>
      </c>
      <c r="B22" s="12" t="s">
        <v>65</v>
      </c>
      <c r="C22" s="12" t="s">
        <v>66</v>
      </c>
      <c r="D22" s="24">
        <v>700</v>
      </c>
      <c r="E22" s="12">
        <v>50</v>
      </c>
      <c r="F22" s="12" t="s">
        <v>9</v>
      </c>
      <c r="G22" s="12">
        <f ca="1">COUNTBLANK('data cleaning'!$G$2:$G$32)</f>
        <v>0</v>
      </c>
      <c r="H22" s="13" t="str">
        <f t="shared" si="0"/>
        <v>14</v>
      </c>
      <c r="I22" s="13" t="str">
        <f t="shared" si="1"/>
        <v>RU</v>
      </c>
      <c r="J22" s="14" t="str">
        <f t="shared" si="2"/>
        <v>CameraNikon</v>
      </c>
      <c r="K22" s="24"/>
      <c r="L22" s="3">
        <v>700</v>
      </c>
      <c r="M22" t="s">
        <v>9</v>
      </c>
    </row>
    <row r="23" spans="1:13" ht="15.75" customHeight="1" x14ac:dyDescent="0.2">
      <c r="A23" s="15" t="s">
        <v>67</v>
      </c>
      <c r="B23" s="16" t="s">
        <v>68</v>
      </c>
      <c r="C23" s="16" t="s">
        <v>69</v>
      </c>
      <c r="D23" s="25">
        <v>80</v>
      </c>
      <c r="E23" s="16">
        <v>20</v>
      </c>
      <c r="F23" s="16" t="s">
        <v>17</v>
      </c>
      <c r="G23" s="17">
        <f ca="1">COUNTBLANK('data cleaning'!$G$2:$G$32)</f>
        <v>0</v>
      </c>
      <c r="H23" s="18" t="str">
        <f t="shared" si="0"/>
        <v>09</v>
      </c>
      <c r="I23" s="18" t="str">
        <f t="shared" si="1"/>
        <v>CA</v>
      </c>
      <c r="J23" s="14" t="str">
        <f t="shared" si="2"/>
        <v>MicrowavePanasonic</v>
      </c>
      <c r="K23" s="25"/>
      <c r="L23" s="4">
        <v>80</v>
      </c>
      <c r="M23" t="s">
        <v>17</v>
      </c>
    </row>
    <row r="24" spans="1:13" ht="15.75" customHeight="1" x14ac:dyDescent="0.2">
      <c r="A24" s="11" t="s">
        <v>70</v>
      </c>
      <c r="B24" s="12" t="s">
        <v>71</v>
      </c>
      <c r="C24" s="12" t="s">
        <v>72</v>
      </c>
      <c r="D24" s="24">
        <v>150</v>
      </c>
      <c r="E24" s="12">
        <v>30</v>
      </c>
      <c r="F24" s="12" t="s">
        <v>9</v>
      </c>
      <c r="G24" s="12">
        <f ca="1">COUNTBLANK('data cleaning'!$G$2:$G$32)</f>
        <v>0</v>
      </c>
      <c r="H24" s="13" t="str">
        <f t="shared" si="0"/>
        <v>19</v>
      </c>
      <c r="I24" s="13" t="str">
        <f t="shared" si="1"/>
        <v>BR</v>
      </c>
      <c r="J24" s="14" t="str">
        <f t="shared" si="2"/>
        <v>Fitness TrackerXiaomi</v>
      </c>
      <c r="K24" s="24"/>
      <c r="L24" s="3">
        <v>150</v>
      </c>
      <c r="M24" t="s">
        <v>9</v>
      </c>
    </row>
    <row r="25" spans="1:13" ht="15.75" customHeight="1" x14ac:dyDescent="0.2">
      <c r="A25" s="19" t="s">
        <v>73</v>
      </c>
      <c r="B25" s="17" t="s">
        <v>19</v>
      </c>
      <c r="C25" s="17" t="s">
        <v>74</v>
      </c>
      <c r="D25" s="26">
        <v>800</v>
      </c>
      <c r="E25" s="17">
        <v>45</v>
      </c>
      <c r="F25" s="17" t="s">
        <v>9</v>
      </c>
      <c r="G25" s="17">
        <f ca="1">COUNTBLANK('data cleaning'!$G$2:$G$32)</f>
        <v>0</v>
      </c>
      <c r="H25" s="18" t="str">
        <f t="shared" si="0"/>
        <v>29</v>
      </c>
      <c r="I25" s="18" t="str">
        <f t="shared" si="1"/>
        <v>CA</v>
      </c>
      <c r="J25" s="14" t="str">
        <f t="shared" si="2"/>
        <v>SmartphoneGoogle</v>
      </c>
      <c r="K25" s="26"/>
      <c r="L25" s="4">
        <v>50</v>
      </c>
      <c r="M25" t="s">
        <v>53</v>
      </c>
    </row>
    <row r="26" spans="1:13" ht="15.75" customHeight="1" x14ac:dyDescent="0.2">
      <c r="A26" s="15" t="s">
        <v>75</v>
      </c>
      <c r="B26" s="16" t="s">
        <v>59</v>
      </c>
      <c r="C26" s="16" t="s">
        <v>76</v>
      </c>
      <c r="D26" s="25">
        <v>130</v>
      </c>
      <c r="E26" s="16">
        <v>25</v>
      </c>
      <c r="F26" s="16" t="s">
        <v>13</v>
      </c>
      <c r="G26" s="12">
        <f ca="1">COUNTBLANK('data cleaning'!$G$2:$G$32)</f>
        <v>0</v>
      </c>
      <c r="H26" s="13" t="str">
        <f t="shared" si="0"/>
        <v>03</v>
      </c>
      <c r="I26" s="13" t="str">
        <f t="shared" si="1"/>
        <v>CA</v>
      </c>
      <c r="J26" s="14" t="str">
        <f t="shared" si="2"/>
        <v>SunglassesRay-Ban</v>
      </c>
      <c r="K26" s="25"/>
      <c r="L26" s="3">
        <v>800</v>
      </c>
      <c r="M26" t="s">
        <v>9</v>
      </c>
    </row>
    <row r="27" spans="1:13" ht="15.75" customHeight="1" x14ac:dyDescent="0.2">
      <c r="A27" s="19" t="s">
        <v>77</v>
      </c>
      <c r="B27" s="17" t="s">
        <v>32</v>
      </c>
      <c r="C27" s="17" t="s">
        <v>78</v>
      </c>
      <c r="D27" s="26">
        <v>400</v>
      </c>
      <c r="E27" s="17">
        <v>40</v>
      </c>
      <c r="F27" s="17" t="s">
        <v>17</v>
      </c>
      <c r="G27" s="17">
        <f ca="1">COUNTBLANK('data cleaning'!$G$2:$G$32)</f>
        <v>0</v>
      </c>
      <c r="H27" s="18" t="str">
        <f t="shared" si="0"/>
        <v>11</v>
      </c>
      <c r="I27" s="18" t="str">
        <f t="shared" si="1"/>
        <v>CA</v>
      </c>
      <c r="J27" s="14" t="str">
        <f t="shared" si="2"/>
        <v>BlenderVitamix</v>
      </c>
      <c r="K27" s="26"/>
      <c r="L27" s="4">
        <v>130</v>
      </c>
      <c r="M27" t="s">
        <v>13</v>
      </c>
    </row>
    <row r="28" spans="1:13" ht="15.75" customHeight="1" x14ac:dyDescent="0.2">
      <c r="A28" s="11" t="s">
        <v>79</v>
      </c>
      <c r="B28" s="12" t="s">
        <v>80</v>
      </c>
      <c r="C28" s="12" t="s">
        <v>81</v>
      </c>
      <c r="D28" s="24">
        <v>60</v>
      </c>
      <c r="E28" s="12">
        <v>30</v>
      </c>
      <c r="F28" s="12" t="s">
        <v>13</v>
      </c>
      <c r="G28" s="12">
        <f ca="1">COUNTBLANK('data cleaning'!$G$2:$G$32)</f>
        <v>0</v>
      </c>
      <c r="H28" s="13" t="str">
        <f t="shared" si="0"/>
        <v>07</v>
      </c>
      <c r="I28" s="13" t="str">
        <f t="shared" si="1"/>
        <v>CA</v>
      </c>
      <c r="J28" s="14" t="str">
        <f t="shared" si="2"/>
        <v>DressZara</v>
      </c>
      <c r="K28" s="24"/>
      <c r="L28" s="3">
        <v>400</v>
      </c>
      <c r="M28" t="s">
        <v>17</v>
      </c>
    </row>
    <row r="29" spans="1:13" ht="15.75" customHeight="1" x14ac:dyDescent="0.2">
      <c r="A29" s="15" t="s">
        <v>82</v>
      </c>
      <c r="B29" s="16" t="s">
        <v>83</v>
      </c>
      <c r="C29" s="16" t="s">
        <v>84</v>
      </c>
      <c r="D29" s="25">
        <v>40</v>
      </c>
      <c r="E29" s="16">
        <v>10</v>
      </c>
      <c r="F29" s="16" t="s">
        <v>17</v>
      </c>
      <c r="G29" s="17">
        <f ca="1">COUNTBLANK('data cleaning'!$G$2:$G$32)</f>
        <v>0</v>
      </c>
      <c r="H29" s="18" t="str">
        <f t="shared" si="0"/>
        <v>13</v>
      </c>
      <c r="I29" s="18" t="str">
        <f t="shared" si="1"/>
        <v>CA</v>
      </c>
      <c r="J29" s="14" t="str">
        <f t="shared" si="2"/>
        <v>ToasterHamilton</v>
      </c>
      <c r="K29" s="25"/>
      <c r="L29" s="4">
        <v>230</v>
      </c>
      <c r="M29" t="s">
        <v>9</v>
      </c>
    </row>
    <row r="30" spans="1:13" ht="15.75" customHeight="1" x14ac:dyDescent="0.2">
      <c r="A30" s="11" t="s">
        <v>85</v>
      </c>
      <c r="B30" s="12" t="s">
        <v>71</v>
      </c>
      <c r="C30" s="12" t="s">
        <v>86</v>
      </c>
      <c r="D30" s="24">
        <v>130</v>
      </c>
      <c r="E30" s="12">
        <v>5</v>
      </c>
      <c r="F30" s="12" t="s">
        <v>9</v>
      </c>
      <c r="G30" s="12">
        <f ca="1">COUNTBLANK('data cleaning'!$G$2:$G$32)</f>
        <v>0</v>
      </c>
      <c r="H30" s="13" t="str">
        <f t="shared" si="0"/>
        <v>24</v>
      </c>
      <c r="I30" s="13" t="str">
        <f t="shared" si="1"/>
        <v>CA</v>
      </c>
      <c r="J30" s="14" t="str">
        <f t="shared" si="2"/>
        <v>Fitness TrackerGarmin</v>
      </c>
      <c r="K30" s="24"/>
      <c r="L30" s="3">
        <v>60</v>
      </c>
      <c r="M30" t="s">
        <v>13</v>
      </c>
    </row>
    <row r="31" spans="1:13" ht="15.75" customHeight="1" x14ac:dyDescent="0.2">
      <c r="A31" s="15" t="s">
        <v>87</v>
      </c>
      <c r="B31" s="16" t="s">
        <v>88</v>
      </c>
      <c r="C31" s="16" t="s">
        <v>89</v>
      </c>
      <c r="D31" s="25">
        <v>50</v>
      </c>
      <c r="E31" s="16">
        <v>50</v>
      </c>
      <c r="F31" s="16" t="s">
        <v>13</v>
      </c>
      <c r="G31" s="17">
        <f ca="1">COUNTBLANK('data cleaning'!$G$2:$G$32)</f>
        <v>0</v>
      </c>
      <c r="H31" s="18" t="str">
        <f t="shared" si="0"/>
        <v>02</v>
      </c>
      <c r="I31" s="18" t="str">
        <f t="shared" si="1"/>
        <v>CA</v>
      </c>
      <c r="J31" s="14" t="str">
        <f t="shared" si="2"/>
        <v>JeansLevi's</v>
      </c>
      <c r="K31" s="25"/>
      <c r="L31" s="4">
        <v>40</v>
      </c>
      <c r="M31" t="s">
        <v>17</v>
      </c>
    </row>
    <row r="32" spans="1:13" ht="15.75" customHeight="1" x14ac:dyDescent="0.2">
      <c r="A32" s="20" t="s">
        <v>90</v>
      </c>
      <c r="B32" s="21" t="s">
        <v>91</v>
      </c>
      <c r="C32" s="21" t="s">
        <v>92</v>
      </c>
      <c r="D32" s="27">
        <v>100</v>
      </c>
      <c r="E32" s="21">
        <v>20</v>
      </c>
      <c r="F32" s="21" t="s">
        <v>53</v>
      </c>
      <c r="G32" s="22">
        <f ca="1">COUNTBLANK('data cleaning'!$G$2:$G$32)</f>
        <v>0</v>
      </c>
      <c r="H32" s="6" t="str">
        <f t="shared" si="0"/>
        <v>09</v>
      </c>
      <c r="I32" s="6" t="str">
        <f t="shared" si="1"/>
        <v>FR</v>
      </c>
      <c r="J32" s="14" t="str">
        <f t="shared" si="2"/>
        <v>WatchCasio</v>
      </c>
      <c r="K32" s="27"/>
      <c r="L32" s="3">
        <v>130</v>
      </c>
      <c r="M32" t="s">
        <v>9</v>
      </c>
    </row>
    <row r="33" spans="12:13" ht="15.75" customHeight="1" x14ac:dyDescent="0.2">
      <c r="L33" s="4">
        <v>50</v>
      </c>
      <c r="M33" t="s">
        <v>13</v>
      </c>
    </row>
    <row r="34" spans="12:13" ht="15.75" customHeight="1" x14ac:dyDescent="0.2">
      <c r="L34" s="3">
        <v>950</v>
      </c>
      <c r="M34" t="s">
        <v>9</v>
      </c>
    </row>
    <row r="35" spans="12:13" ht="15.75" customHeight="1" x14ac:dyDescent="0.2">
      <c r="L35" s="4">
        <v>100</v>
      </c>
      <c r="M35" t="s">
        <v>53</v>
      </c>
    </row>
    <row r="36" spans="12:13" ht="15.75" customHeight="1" x14ac:dyDescent="0.2"/>
    <row r="37" spans="12:13" ht="15.75" customHeight="1" x14ac:dyDescent="0.2"/>
    <row r="38" spans="12:13" ht="15.75" customHeight="1" x14ac:dyDescent="0.2"/>
    <row r="39" spans="12:13" ht="15.75" customHeight="1" x14ac:dyDescent="0.2"/>
    <row r="40" spans="12:13" ht="15.75" customHeight="1" x14ac:dyDescent="0.2"/>
    <row r="41" spans="12:13" ht="15.75" customHeight="1" x14ac:dyDescent="0.2"/>
    <row r="42" spans="12:13" ht="15.75" customHeight="1" x14ac:dyDescent="0.2"/>
    <row r="43" spans="12:13" ht="15.75" customHeight="1" x14ac:dyDescent="0.2"/>
    <row r="44" spans="12:13" ht="15.75" customHeight="1" x14ac:dyDescent="0.2"/>
    <row r="45" spans="12:13" ht="15.75" customHeight="1" x14ac:dyDescent="0.2"/>
    <row r="46" spans="12:13" ht="15.75" customHeight="1" x14ac:dyDescent="0.2"/>
    <row r="47" spans="12:13" ht="15.75" customHeight="1" x14ac:dyDescent="0.2"/>
    <row r="48" spans="12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L2:L35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{2FDC6A1F-1006-4F23-96F8-22813E44964B}</x14:id>
        </ext>
      </extLst>
    </cfRule>
  </conditionalFormatting>
  <conditionalFormatting sqref="M2:M35">
    <cfRule type="containsText" dxfId="0" priority="1" operator="containsText" text="Electronics">
      <formula>NOT(ISERROR(SEARCH("Electronics",M2)))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DC6A1F-1006-4F23-96F8-22813E4496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L2:L35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422B-DF13-4A4C-8101-230DC95DDA84}">
  <dimension ref="A1:C19"/>
  <sheetViews>
    <sheetView workbookViewId="0">
      <selection activeCell="C20" sqref="C20"/>
    </sheetView>
  </sheetViews>
  <sheetFormatPr defaultRowHeight="12.75" x14ac:dyDescent="0.2"/>
  <cols>
    <col min="1" max="1" width="22.85546875" customWidth="1"/>
    <col min="2" max="2" width="25.85546875" customWidth="1"/>
    <col min="3" max="3" width="97.85546875" customWidth="1"/>
  </cols>
  <sheetData>
    <row r="1" spans="1:3" x14ac:dyDescent="0.2">
      <c r="A1" t="s">
        <v>93</v>
      </c>
    </row>
    <row r="3" spans="1:3" x14ac:dyDescent="0.2">
      <c r="A3" t="s">
        <v>94</v>
      </c>
      <c r="B3" t="s">
        <v>95</v>
      </c>
      <c r="C3" t="s">
        <v>96</v>
      </c>
    </row>
    <row r="4" spans="1:3" x14ac:dyDescent="0.2">
      <c r="A4">
        <v>1</v>
      </c>
      <c r="B4" t="s">
        <v>97</v>
      </c>
      <c r="C4" t="s">
        <v>98</v>
      </c>
    </row>
    <row r="5" spans="1:3" ht="15.75" customHeight="1" x14ac:dyDescent="0.2">
      <c r="C5" t="s">
        <v>100</v>
      </c>
    </row>
    <row r="6" spans="1:3" x14ac:dyDescent="0.2">
      <c r="C6" t="s">
        <v>101</v>
      </c>
    </row>
    <row r="8" spans="1:3" x14ac:dyDescent="0.2">
      <c r="A8">
        <v>2</v>
      </c>
      <c r="B8" t="s">
        <v>102</v>
      </c>
      <c r="C8" t="s">
        <v>103</v>
      </c>
    </row>
    <row r="9" spans="1:3" x14ac:dyDescent="0.2">
      <c r="B9" t="s">
        <v>105</v>
      </c>
      <c r="C9" t="s">
        <v>104</v>
      </c>
    </row>
    <row r="10" spans="1:3" x14ac:dyDescent="0.2">
      <c r="B10" t="s">
        <v>106</v>
      </c>
      <c r="C10" t="s">
        <v>107</v>
      </c>
    </row>
    <row r="12" spans="1:3" x14ac:dyDescent="0.2">
      <c r="A12">
        <v>3</v>
      </c>
      <c r="B12" t="s">
        <v>108</v>
      </c>
      <c r="C12" t="s">
        <v>109</v>
      </c>
    </row>
    <row r="14" spans="1:3" x14ac:dyDescent="0.2">
      <c r="A14">
        <v>4</v>
      </c>
      <c r="B14" t="s">
        <v>112</v>
      </c>
      <c r="C14" t="s">
        <v>113</v>
      </c>
    </row>
    <row r="16" spans="1:3" x14ac:dyDescent="0.2">
      <c r="A16">
        <v>5</v>
      </c>
      <c r="B16" s="28" t="s">
        <v>118</v>
      </c>
      <c r="C16" s="28" t="s">
        <v>119</v>
      </c>
    </row>
    <row r="18" spans="1:3" x14ac:dyDescent="0.2">
      <c r="A18">
        <v>6</v>
      </c>
      <c r="B18" s="28" t="s">
        <v>116</v>
      </c>
      <c r="C18" s="28" t="s">
        <v>120</v>
      </c>
    </row>
    <row r="19" spans="1:3" x14ac:dyDescent="0.2">
      <c r="B19" s="28" t="s">
        <v>117</v>
      </c>
      <c r="C19" s="28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896A1C-DA0C-49E4-8D19-BCB6A20F4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cleaning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2026-07-01T11:28:53Z</dcterms:modified>
</cp:coreProperties>
</file>